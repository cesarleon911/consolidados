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arlos Almeida\Documents\CPAlmeida\CLIENTES\Telconet\Consolidado Telconet &amp; subsidiarias 2019\Estados financieros 2019\"/>
    </mc:Choice>
  </mc:AlternateContent>
  <xr:revisionPtr revIDLastSave="0" documentId="13_ncr:1_{D9D7601D-9505-4752-998F-F047B3B66394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ESF" sheetId="2" r:id="rId1"/>
    <sheet name="ERI" sheetId="3" r:id="rId2"/>
    <sheet name="ECP" sheetId="4" r:id="rId3"/>
    <sheet name="BC 2019" sheetId="1" r:id="rId4"/>
    <sheet name="BC 2018" sheetId="5" r:id="rId5"/>
  </sheets>
  <externalReferences>
    <externalReference r:id="rId6"/>
    <externalReference r:id="rId7"/>
  </externalReferences>
  <definedNames>
    <definedName name="_xlnm.Print_Area" localSheetId="3">'BC 2019'!$A$2:$I$58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2" i="4" l="1"/>
  <c r="G63" i="5" l="1"/>
  <c r="G65" i="5" s="1"/>
  <c r="D62" i="5"/>
  <c r="D61" i="5"/>
  <c r="G35" i="5"/>
  <c r="G32" i="5"/>
  <c r="H30" i="5"/>
  <c r="H40" i="5" s="1"/>
  <c r="G16" i="5"/>
  <c r="H26" i="5" s="1"/>
  <c r="H14" i="5"/>
  <c r="B19" i="2" l="1"/>
  <c r="I42" i="4"/>
  <c r="H42" i="4"/>
  <c r="G42" i="4"/>
  <c r="E42" i="4"/>
  <c r="D42" i="4"/>
  <c r="C42" i="4"/>
  <c r="K41" i="4"/>
  <c r="K40" i="4"/>
  <c r="K39" i="4"/>
  <c r="K38" i="4"/>
  <c r="K37" i="4"/>
  <c r="K36" i="4"/>
  <c r="B42" i="4"/>
  <c r="K34" i="4"/>
  <c r="K32" i="4"/>
  <c r="K30" i="4"/>
  <c r="K28" i="4"/>
  <c r="K26" i="4"/>
  <c r="I24" i="4"/>
  <c r="H24" i="4"/>
  <c r="G24" i="4"/>
  <c r="E24" i="4"/>
  <c r="D24" i="4"/>
  <c r="C24" i="4"/>
  <c r="B24" i="4"/>
  <c r="K22" i="4"/>
  <c r="K20" i="4"/>
  <c r="K18" i="4"/>
  <c r="J18" i="4"/>
  <c r="J24" i="4" s="1"/>
  <c r="K16" i="4"/>
  <c r="K14" i="4"/>
  <c r="K24" i="4" s="1"/>
  <c r="B6" i="3"/>
  <c r="B12" i="3" s="1"/>
  <c r="B17" i="3" s="1"/>
  <c r="B23" i="3" s="1"/>
  <c r="B29" i="3" s="1"/>
  <c r="E26" i="2"/>
  <c r="B27" i="2"/>
  <c r="E14" i="2"/>
  <c r="B14" i="2"/>
  <c r="J42" i="4" l="1"/>
  <c r="K42" i="4"/>
  <c r="B31" i="2"/>
  <c r="E27" i="2"/>
  <c r="E31" i="2"/>
  <c r="E39" i="1" l="1"/>
  <c r="G35" i="1" s="1"/>
  <c r="G16" i="1" l="1"/>
  <c r="H14" i="1" s="1"/>
  <c r="G32" i="1"/>
  <c r="H30" i="1"/>
  <c r="H41" i="1" s="1"/>
  <c r="D62" i="1"/>
  <c r="D63" i="1"/>
  <c r="G64" i="1"/>
  <c r="G66" i="1" s="1"/>
  <c r="H26" i="1" l="1"/>
</calcChain>
</file>

<file path=xl/sharedStrings.xml><?xml version="1.0" encoding="utf-8"?>
<sst xmlns="http://schemas.openxmlformats.org/spreadsheetml/2006/main" count="192" uniqueCount="138">
  <si>
    <t>PERDIDA DEL EJERCICIO</t>
  </si>
  <si>
    <t xml:space="preserve">TOTAL COSTOS Y GASTOS </t>
  </si>
  <si>
    <t>GASTOS ADMINISTRACION Y VENTAS</t>
  </si>
  <si>
    <t xml:space="preserve">         DEPRECIACION DE ACTIVOS</t>
  </si>
  <si>
    <t xml:space="preserve">GASTOS </t>
  </si>
  <si>
    <t>ESTADO DE  RESULTADOS</t>
  </si>
  <si>
    <t>INMOBILIARIA LEONORTRES S.A.</t>
  </si>
  <si>
    <t>Contador</t>
  </si>
  <si>
    <t>Gerente General</t>
  </si>
  <si>
    <t>FELIX VALAREZO A.</t>
  </si>
  <si>
    <t>JAN  TOPIC F.</t>
  </si>
  <si>
    <t>TOTAL PASIVO Y PATRIMONIO</t>
  </si>
  <si>
    <t xml:space="preserve">       </t>
  </si>
  <si>
    <t xml:space="preserve">      SUPERAVIT / REVALUACION  ACM.  P.P.E.</t>
  </si>
  <si>
    <t>3-1-1-01-02-001</t>
  </si>
  <si>
    <t xml:space="preserve">      RESERVA DE CAPITAL</t>
  </si>
  <si>
    <t>RESERVAS</t>
  </si>
  <si>
    <t>3-1-1-01-01-001</t>
  </si>
  <si>
    <t xml:space="preserve">      CAPITAL SUSCRITO Y PAGADO</t>
  </si>
  <si>
    <t>3-1-1</t>
  </si>
  <si>
    <t xml:space="preserve">   CAPITAL</t>
  </si>
  <si>
    <t>3</t>
  </si>
  <si>
    <t xml:space="preserve"> PASIVO Y PATRIMONIO </t>
  </si>
  <si>
    <t xml:space="preserve">   TOTAL  DE  ACTIVO</t>
  </si>
  <si>
    <t xml:space="preserve">        DEPRECICIACION ACUM EDIFICIO</t>
  </si>
  <si>
    <t xml:space="preserve">       REVALUACION EDIFICIO</t>
  </si>
  <si>
    <t xml:space="preserve">       REVALUACION TERRENO</t>
  </si>
  <si>
    <t>1-3-2-01-01-001</t>
  </si>
  <si>
    <t xml:space="preserve">      TERRENOS</t>
  </si>
  <si>
    <t>1-3-2-01-01</t>
  </si>
  <si>
    <t xml:space="preserve">     PROPIEDAD PLANTA Y EQUIPO</t>
  </si>
  <si>
    <t>1-3-2</t>
  </si>
  <si>
    <t xml:space="preserve">   ACTIVO FIJO</t>
  </si>
  <si>
    <t>1</t>
  </si>
  <si>
    <t xml:space="preserve"> ACTIVOS</t>
  </si>
  <si>
    <t>ESTADO DE SITUACIÓN FINANCIERA</t>
  </si>
  <si>
    <t xml:space="preserve">      PERDIDA  ACUMULADA </t>
  </si>
  <si>
    <t xml:space="preserve">      PERDIDA  DEL EJERCICIO</t>
  </si>
  <si>
    <t>CORTE AL 31 DICIEMBRE DEL 2019</t>
  </si>
  <si>
    <r>
      <t xml:space="preserve">        </t>
    </r>
    <r>
      <rPr>
        <u/>
        <sz val="9"/>
        <rFont val="Arial"/>
        <family val="2"/>
      </rPr>
      <t>Activo</t>
    </r>
  </si>
  <si>
    <r>
      <t xml:space="preserve">        </t>
    </r>
    <r>
      <rPr>
        <u/>
        <sz val="9"/>
        <rFont val="Arial"/>
        <family val="2"/>
      </rPr>
      <t>Pasivo y patrimonio</t>
    </r>
  </si>
  <si>
    <t>ACTIVO CORRIENTE</t>
  </si>
  <si>
    <t>PASIVO CORRIENTE</t>
  </si>
  <si>
    <t>Efectivo y Equivalentes de efectivo</t>
  </si>
  <si>
    <t>Sobregiros Bancarios</t>
  </si>
  <si>
    <t>Activos Financieros a valor razonable</t>
  </si>
  <si>
    <t>Porción corriente de las obligaciones financieras</t>
  </si>
  <si>
    <t>Inversiones mantenidas hasta el vencimiento</t>
  </si>
  <si>
    <t>Porción corriente de valores emitidos</t>
  </si>
  <si>
    <t>Clientes</t>
  </si>
  <si>
    <t>Proveedores</t>
  </si>
  <si>
    <t>Compañías relacionadas</t>
  </si>
  <si>
    <t>Compañias relacionadas</t>
  </si>
  <si>
    <t>Impuestos por recuperar</t>
  </si>
  <si>
    <t>Otros impuestos por pagar</t>
  </si>
  <si>
    <t>Otras cuentas por cobrar</t>
  </si>
  <si>
    <t>Otras cuentas por pagar</t>
  </si>
  <si>
    <t>Anticipos a proveedores</t>
  </si>
  <si>
    <t>Pasivos del contrato</t>
  </si>
  <si>
    <t>Inventarios</t>
  </si>
  <si>
    <t>Beneficios Sociales</t>
  </si>
  <si>
    <t>Total del activo corriente</t>
  </si>
  <si>
    <t>Total pasivos corrientes</t>
  </si>
  <si>
    <t>ACTIVO NO CORRIENTE</t>
  </si>
  <si>
    <t>PASIVO NO CORRIENTE</t>
  </si>
  <si>
    <t>Obligaciones Financieras</t>
  </si>
  <si>
    <t>Valores emitidos</t>
  </si>
  <si>
    <t>Propiedad y equipos, neto</t>
  </si>
  <si>
    <t>Propiedades de Inversión</t>
  </si>
  <si>
    <t>Activos Intangibles</t>
  </si>
  <si>
    <t>Inversiones en derechos fiduciarios</t>
  </si>
  <si>
    <t>Jubilación Patronal y Bonifcación por desahucio</t>
  </si>
  <si>
    <t>Inversiones en subsidiarias y asociadas</t>
  </si>
  <si>
    <t>Activo por impuesto diferido</t>
  </si>
  <si>
    <t>Provisiones</t>
  </si>
  <si>
    <t>Otros activos</t>
  </si>
  <si>
    <t>Pasivo contingente</t>
  </si>
  <si>
    <t>Total pasivos no corrientes</t>
  </si>
  <si>
    <t>Total del activo no corriente</t>
  </si>
  <si>
    <t>Total pasivos</t>
  </si>
  <si>
    <t>PATRIMONIO (según estado adjunto)</t>
  </si>
  <si>
    <t xml:space="preserve">      Total del activo</t>
  </si>
  <si>
    <t xml:space="preserve">    Total del pasivo y patrimonio</t>
  </si>
  <si>
    <t>Ventas</t>
  </si>
  <si>
    <t>Costo de Venta</t>
  </si>
  <si>
    <t xml:space="preserve">     Utilidad Bruta</t>
  </si>
  <si>
    <t>Gastos operativos</t>
  </si>
  <si>
    <t>Gastos administrativos y ventas</t>
  </si>
  <si>
    <t xml:space="preserve">     Utilidad Operacional</t>
  </si>
  <si>
    <t>Gastos Financieros</t>
  </si>
  <si>
    <t>Otros Gastos (Ingresos), neto</t>
  </si>
  <si>
    <t>Utilidad antes de la participación a trabajadores y del impuesto a la renta</t>
  </si>
  <si>
    <t>Participación a trabajadores</t>
  </si>
  <si>
    <t>Impuesto a la renta</t>
  </si>
  <si>
    <t xml:space="preserve">     Utilidad neta del año</t>
  </si>
  <si>
    <t>Otro Resultado Integral</t>
  </si>
  <si>
    <t>Ganancia (Pérdida) actuarial en jubilación patronal y bonificación por desahucio</t>
  </si>
  <si>
    <t>Resultado integral del año</t>
  </si>
  <si>
    <t>Nota: se reclasificó de la cuenta de gastos administrativos al costo de ventas el valor de US$30.600.634</t>
  </si>
  <si>
    <t>Resultados acumulados</t>
  </si>
  <si>
    <t>Capital pagado</t>
  </si>
  <si>
    <t xml:space="preserve">Aportes para </t>
  </si>
  <si>
    <t>Otros</t>
  </si>
  <si>
    <t>Reserva</t>
  </si>
  <si>
    <t xml:space="preserve">futura </t>
  </si>
  <si>
    <t xml:space="preserve">Reserva </t>
  </si>
  <si>
    <t xml:space="preserve"> resultados</t>
  </si>
  <si>
    <t>de</t>
  </si>
  <si>
    <t>Adopción de</t>
  </si>
  <si>
    <t xml:space="preserve">Resultados </t>
  </si>
  <si>
    <t>capitalización</t>
  </si>
  <si>
    <t>Legal</t>
  </si>
  <si>
    <t>Facultativa</t>
  </si>
  <si>
    <t>integrales</t>
  </si>
  <si>
    <t>Capital</t>
  </si>
  <si>
    <t xml:space="preserve"> NIIF</t>
  </si>
  <si>
    <t>acumulados</t>
  </si>
  <si>
    <t>Total</t>
  </si>
  <si>
    <t>Saldos al 1 de enero del 2014</t>
  </si>
  <si>
    <t>Apropiación reserva legal</t>
  </si>
  <si>
    <t>Saldo al 1 de enero de 2017</t>
  </si>
  <si>
    <t>Aumento de capital según Acta de Junta de Accionistas del 14 de julio de 2017</t>
  </si>
  <si>
    <t>Otros ajustes menores</t>
  </si>
  <si>
    <t>Aplicación de aporte de accionistas a cuentas por cobrar según Acta de Junta de Accionistas del 29 de diciembre de 2017</t>
  </si>
  <si>
    <t>Utilidad neta y resultado integral del año</t>
  </si>
  <si>
    <t>Saldos al 31 de diciembre del 2017</t>
  </si>
  <si>
    <t>Efecto de implementación de NIIF 9</t>
  </si>
  <si>
    <t>Aumento de capital según Acta de Junta de Accionistas del 4 de septiembre de 2018</t>
  </si>
  <si>
    <t>Otros ajustes</t>
  </si>
  <si>
    <t>Saldos al 31 de diciembre del 2018</t>
  </si>
  <si>
    <t>Aumento de capital según Acta de Junta de Accionistas</t>
  </si>
  <si>
    <t>Saldos al 31 de diciembre del 2019</t>
  </si>
  <si>
    <t>CORTE AL 31 DICIEMBRE DEL 2018</t>
  </si>
  <si>
    <t xml:space="preserve">      PERDIDA </t>
  </si>
  <si>
    <t>Superavit</t>
  </si>
  <si>
    <t>por</t>
  </si>
  <si>
    <t>revaluacion</t>
  </si>
  <si>
    <t>Revalorizacion de PP&amp;E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</si>
</sst>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 * #,##0_ ;\(* #,##0\);_ * &quot;-&quot;??_ ;_ @_ "/>
    <numFmt numFmtId="166" formatCode="_(* #,##0_);_(* \(#,##0\);_(* &quot;-&quot;??_);_(@_)"/>
    <numFmt numFmtId="167" formatCode="_ * #,##0_ ;_ * \-#,##0_ ;_ * &quot;-&quot;??_ ;_ @_ "/>
    <numFmt numFmtId="168" formatCode="_ * #,##0_ ;\(* #,##0\);_ * &quot;-&quot;_ ;_ @_ "/>
    <numFmt numFmtId="169" formatCode="#,##0\ ;\(#,##0\)"/>
    <numFmt numFmtId="170" formatCode="_-* #,##0.00\ _€_-;\-* #,##0.00\ _€_-;_-* &quot;-&quot;??\ _€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6"/>
      <color rgb="FF000000"/>
      <name val="Arial"/>
      <family val="2"/>
    </font>
    <font>
      <b/>
      <sz val="2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0"/>
      <name val="Arial"/>
      <family val="2"/>
    </font>
    <font>
      <u val="singleAccounting"/>
      <sz val="9"/>
      <name val="Arial"/>
      <family val="2"/>
    </font>
    <font>
      <sz val="8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2" fillId="0" borderId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21">
    <xf numFmtId="0" fontId="0" fillId="0" borderId="0" xfId="0"/>
    <xf numFmtId="3" fontId="0" fillId="0" borderId="0" xfId="0" applyNumberFormat="1"/>
    <xf numFmtId="0" fontId="0" fillId="0" borderId="0" xfId="0" applyBorder="1"/>
    <xf numFmtId="3" fontId="0" fillId="0" borderId="0" xfId="0" applyNumberFormat="1" applyBorder="1"/>
    <xf numFmtId="3" fontId="0" fillId="0" borderId="0" xfId="0" applyNumberFormat="1" applyFont="1" applyBorder="1"/>
    <xf numFmtId="0" fontId="0" fillId="0" borderId="0" xfId="0" applyFont="1" applyBorder="1"/>
    <xf numFmtId="3" fontId="1" fillId="0" borderId="0" xfId="0" applyNumberFormat="1" applyFont="1" applyBorder="1" applyAlignment="1"/>
    <xf numFmtId="3" fontId="1" fillId="0" borderId="1" xfId="0" applyNumberFormat="1" applyFont="1" applyBorder="1"/>
    <xf numFmtId="3" fontId="0" fillId="0" borderId="0" xfId="0" applyNumberFormat="1" applyFont="1"/>
    <xf numFmtId="0" fontId="0" fillId="0" borderId="0" xfId="0" applyFont="1"/>
    <xf numFmtId="0" fontId="1" fillId="0" borderId="0" xfId="0" applyFont="1"/>
    <xf numFmtId="3" fontId="1" fillId="0" borderId="2" xfId="0" applyNumberFormat="1" applyFont="1" applyBorder="1"/>
    <xf numFmtId="3" fontId="1" fillId="0" borderId="0" xfId="0" applyNumberFormat="1" applyFont="1" applyBorder="1"/>
    <xf numFmtId="3" fontId="0" fillId="0" borderId="2" xfId="0" applyNumberFormat="1" applyFont="1" applyBorder="1"/>
    <xf numFmtId="3" fontId="2" fillId="0" borderId="0" xfId="0" applyNumberFormat="1" applyFont="1"/>
    <xf numFmtId="0" fontId="2" fillId="0" borderId="0" xfId="0" applyFont="1"/>
    <xf numFmtId="49" fontId="0" fillId="0" borderId="0" xfId="0" applyNumberFormat="1"/>
    <xf numFmtId="3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3" xfId="0" applyNumberFormat="1" applyFont="1" applyBorder="1"/>
    <xf numFmtId="0" fontId="5" fillId="0" borderId="0" xfId="0" applyFont="1"/>
    <xf numFmtId="0" fontId="3" fillId="0" borderId="0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center"/>
    </xf>
    <xf numFmtId="164" fontId="10" fillId="0" borderId="0" xfId="2" applyFont="1" applyFill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3" applyFont="1" applyAlignment="1">
      <alignment horizontal="left"/>
    </xf>
    <xf numFmtId="165" fontId="7" fillId="0" borderId="0" xfId="4" applyNumberFormat="1" applyFont="1" applyFill="1"/>
    <xf numFmtId="0" fontId="7" fillId="0" borderId="0" xfId="0" applyFont="1" applyAlignment="1">
      <alignment horizontal="left" indent="1"/>
    </xf>
    <xf numFmtId="166" fontId="7" fillId="0" borderId="0" xfId="2" applyNumberFormat="1" applyFont="1" applyFill="1" applyBorder="1"/>
    <xf numFmtId="164" fontId="8" fillId="0" borderId="0" xfId="2" applyFont="1" applyFill="1"/>
    <xf numFmtId="165" fontId="8" fillId="0" borderId="0" xfId="0" applyNumberFormat="1" applyFont="1"/>
    <xf numFmtId="165" fontId="7" fillId="0" borderId="4" xfId="4" applyNumberFormat="1" applyFont="1" applyFill="1" applyBorder="1"/>
    <xf numFmtId="0" fontId="7" fillId="0" borderId="0" xfId="3" applyFont="1"/>
    <xf numFmtId="165" fontId="7" fillId="0" borderId="5" xfId="4" applyNumberFormat="1" applyFont="1" applyFill="1" applyBorder="1"/>
    <xf numFmtId="0" fontId="7" fillId="0" borderId="0" xfId="3" applyFont="1" applyAlignment="1">
      <alignment horizontal="left" indent="1"/>
    </xf>
    <xf numFmtId="167" fontId="7" fillId="0" borderId="0" xfId="4" applyNumberFormat="1" applyFont="1" applyFill="1"/>
    <xf numFmtId="165" fontId="7" fillId="0" borderId="0" xfId="4" applyNumberFormat="1" applyFont="1" applyFill="1" applyBorder="1"/>
    <xf numFmtId="166" fontId="7" fillId="0" borderId="2" xfId="2" applyNumberFormat="1" applyFont="1" applyFill="1" applyBorder="1"/>
    <xf numFmtId="165" fontId="7" fillId="0" borderId="2" xfId="4" applyNumberFormat="1" applyFont="1" applyFill="1" applyBorder="1"/>
    <xf numFmtId="166" fontId="8" fillId="0" borderId="5" xfId="0" applyNumberFormat="1" applyFont="1" applyBorder="1"/>
    <xf numFmtId="168" fontId="7" fillId="0" borderId="0" xfId="0" applyNumberFormat="1" applyFont="1"/>
    <xf numFmtId="166" fontId="7" fillId="0" borderId="0" xfId="2" applyNumberFormat="1" applyFont="1" applyFill="1"/>
    <xf numFmtId="167" fontId="7" fillId="0" borderId="3" xfId="4" applyNumberFormat="1" applyFont="1" applyFill="1" applyBorder="1"/>
    <xf numFmtId="0" fontId="7" fillId="0" borderId="0" xfId="3" applyFont="1" applyAlignment="1">
      <alignment wrapText="1"/>
    </xf>
    <xf numFmtId="165" fontId="7" fillId="0" borderId="3" xfId="0" applyNumberFormat="1" applyFont="1" applyBorder="1" applyAlignment="1">
      <alignment horizontal="center"/>
    </xf>
    <xf numFmtId="166" fontId="7" fillId="0" borderId="0" xfId="0" applyNumberFormat="1" applyFont="1"/>
    <xf numFmtId="37" fontId="7" fillId="0" borderId="0" xfId="0" applyNumberFormat="1" applyFont="1"/>
    <xf numFmtId="169" fontId="9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9" fontId="9" fillId="0" borderId="0" xfId="0" applyNumberFormat="1" applyFont="1"/>
    <xf numFmtId="169" fontId="7" fillId="0" borderId="0" xfId="0" applyNumberFormat="1" applyFont="1"/>
    <xf numFmtId="166" fontId="7" fillId="0" borderId="0" xfId="2" applyNumberFormat="1" applyFont="1" applyFill="1" applyBorder="1" applyAlignment="1">
      <alignment horizontal="center"/>
    </xf>
    <xf numFmtId="164" fontId="7" fillId="0" borderId="0" xfId="2" applyFont="1" applyFill="1" applyBorder="1"/>
    <xf numFmtId="164" fontId="7" fillId="0" borderId="0" xfId="2" applyFont="1" applyFill="1" applyBorder="1" applyAlignment="1">
      <alignment horizontal="center"/>
    </xf>
    <xf numFmtId="164" fontId="0" fillId="0" borderId="0" xfId="0" applyNumberFormat="1"/>
    <xf numFmtId="166" fontId="7" fillId="0" borderId="2" xfId="2" applyNumberFormat="1" applyFont="1" applyFill="1" applyBorder="1" applyAlignment="1">
      <alignment horizontal="center"/>
    </xf>
    <xf numFmtId="164" fontId="7" fillId="0" borderId="2" xfId="2" applyFont="1" applyFill="1" applyBorder="1" applyAlignment="1">
      <alignment horizontal="center"/>
    </xf>
    <xf numFmtId="166" fontId="8" fillId="0" borderId="0" xfId="0" applyNumberFormat="1" applyFont="1"/>
    <xf numFmtId="164" fontId="8" fillId="0" borderId="0" xfId="0" applyNumberFormat="1" applyFont="1"/>
    <xf numFmtId="164" fontId="7" fillId="0" borderId="2" xfId="2" applyFont="1" applyFill="1" applyBorder="1"/>
    <xf numFmtId="0" fontId="7" fillId="0" borderId="0" xfId="0" applyFont="1" applyAlignment="1">
      <alignment horizontal="left" wrapText="1" indent="2"/>
    </xf>
    <xf numFmtId="166" fontId="7" fillId="0" borderId="0" xfId="2" applyNumberFormat="1" applyFont="1" applyFill="1" applyAlignment="1">
      <alignment horizontal="center"/>
    </xf>
    <xf numFmtId="164" fontId="7" fillId="0" borderId="0" xfId="0" applyNumberFormat="1" applyFont="1"/>
    <xf numFmtId="164" fontId="7" fillId="0" borderId="0" xfId="2" applyFont="1" applyFill="1" applyAlignment="1">
      <alignment horizontal="center"/>
    </xf>
    <xf numFmtId="43" fontId="8" fillId="0" borderId="0" xfId="0" applyNumberFormat="1" applyFont="1"/>
    <xf numFmtId="166" fontId="7" fillId="0" borderId="5" xfId="2" applyNumberFormat="1" applyFont="1" applyFill="1" applyBorder="1"/>
    <xf numFmtId="164" fontId="7" fillId="0" borderId="5" xfId="2" applyFont="1" applyFill="1" applyBorder="1"/>
    <xf numFmtId="167" fontId="8" fillId="0" borderId="0" xfId="2" applyNumberFormat="1" applyFont="1" applyFill="1"/>
    <xf numFmtId="167" fontId="5" fillId="0" borderId="0" xfId="2" applyNumberFormat="1" applyFont="1"/>
    <xf numFmtId="167" fontId="8" fillId="0" borderId="0" xfId="0" applyNumberFormat="1" applyFont="1"/>
    <xf numFmtId="169" fontId="7" fillId="0" borderId="0" xfId="0" applyNumberFormat="1" applyFont="1" applyAlignment="1">
      <alignment horizontal="left" wrapText="1" indent="2"/>
    </xf>
    <xf numFmtId="166" fontId="8" fillId="0" borderId="1" xfId="0" applyNumberFormat="1" applyFont="1" applyBorder="1"/>
    <xf numFmtId="164" fontId="8" fillId="0" borderId="1" xfId="0" applyNumberFormat="1" applyFont="1" applyBorder="1"/>
    <xf numFmtId="0" fontId="0" fillId="0" borderId="0" xfId="0" applyAlignment="1">
      <alignment horizontal="center"/>
    </xf>
    <xf numFmtId="167" fontId="14" fillId="0" borderId="0" xfId="5" applyNumberFormat="1" applyFont="1" applyFill="1" applyBorder="1" applyAlignment="1">
      <alignment horizontal="center"/>
    </xf>
    <xf numFmtId="167" fontId="14" fillId="0" borderId="0" xfId="5" applyNumberFormat="1" applyFont="1" applyFill="1" applyBorder="1" applyAlignment="1">
      <alignment horizontal="center" wrapText="1"/>
    </xf>
    <xf numFmtId="167" fontId="14" fillId="0" borderId="0" xfId="5" applyNumberFormat="1" applyFont="1" applyFill="1" applyAlignment="1">
      <alignment horizontal="center"/>
    </xf>
    <xf numFmtId="167" fontId="14" fillId="0" borderId="2" xfId="5" applyNumberFormat="1" applyFont="1" applyFill="1" applyBorder="1" applyAlignment="1">
      <alignment horizontal="center" wrapText="1"/>
    </xf>
    <xf numFmtId="167" fontId="14" fillId="0" borderId="2" xfId="5" applyNumberFormat="1" applyFont="1" applyFill="1" applyBorder="1" applyAlignment="1">
      <alignment horizontal="center"/>
    </xf>
    <xf numFmtId="164" fontId="14" fillId="0" borderId="0" xfId="6" applyFont="1" applyFill="1" applyBorder="1"/>
    <xf numFmtId="0" fontId="14" fillId="0" borderId="0" xfId="0" applyFont="1"/>
    <xf numFmtId="168" fontId="14" fillId="0" borderId="0" xfId="7" applyNumberFormat="1" applyFont="1" applyFill="1" applyBorder="1"/>
    <xf numFmtId="166" fontId="14" fillId="0" borderId="0" xfId="6" applyNumberFormat="1" applyFont="1" applyFill="1" applyBorder="1"/>
    <xf numFmtId="0" fontId="14" fillId="0" borderId="6" xfId="0" applyFont="1" applyBorder="1"/>
    <xf numFmtId="167" fontId="14" fillId="0" borderId="0" xfId="5" applyNumberFormat="1" applyFont="1" applyFill="1" applyBorder="1"/>
    <xf numFmtId="164" fontId="14" fillId="0" borderId="0" xfId="7" applyNumberFormat="1" applyFont="1" applyFill="1" applyBorder="1"/>
    <xf numFmtId="168" fontId="0" fillId="0" borderId="0" xfId="0" applyNumberFormat="1"/>
    <xf numFmtId="167" fontId="14" fillId="0" borderId="0" xfId="5" applyNumberFormat="1" applyFont="1" applyFill="1"/>
    <xf numFmtId="164" fontId="14" fillId="0" borderId="0" xfId="5" applyNumberFormat="1" applyFont="1" applyFill="1" applyBorder="1"/>
    <xf numFmtId="0" fontId="14" fillId="0" borderId="0" xfId="0" applyFont="1" applyAlignment="1">
      <alignment vertical="center" wrapText="1"/>
    </xf>
    <xf numFmtId="164" fontId="14" fillId="0" borderId="0" xfId="6" applyFont="1" applyFill="1" applyBorder="1" applyAlignment="1">
      <alignment vertical="center"/>
    </xf>
    <xf numFmtId="164" fontId="0" fillId="0" borderId="0" xfId="2" applyFont="1" applyFill="1"/>
    <xf numFmtId="166" fontId="15" fillId="0" borderId="0" xfId="2" applyNumberFormat="1" applyFont="1" applyFill="1"/>
    <xf numFmtId="164" fontId="14" fillId="0" borderId="0" xfId="0" applyNumberFormat="1" applyFont="1"/>
    <xf numFmtId="166" fontId="14" fillId="0" borderId="0" xfId="7" applyNumberFormat="1" applyFont="1" applyFill="1" applyBorder="1"/>
    <xf numFmtId="166" fontId="0" fillId="0" borderId="0" xfId="0" applyNumberFormat="1"/>
    <xf numFmtId="166" fontId="14" fillId="0" borderId="3" xfId="6" applyNumberFormat="1" applyFont="1" applyFill="1" applyBorder="1"/>
    <xf numFmtId="43" fontId="0" fillId="0" borderId="0" xfId="0" applyNumberFormat="1"/>
    <xf numFmtId="167" fontId="0" fillId="0" borderId="0" xfId="1" applyNumberFormat="1" applyFont="1"/>
    <xf numFmtId="4" fontId="0" fillId="0" borderId="0" xfId="0" applyNumberFormat="1"/>
    <xf numFmtId="0" fontId="3" fillId="0" borderId="0" xfId="0" applyFont="1" applyAlignment="1">
      <alignment horizontal="center"/>
    </xf>
    <xf numFmtId="3" fontId="0" fillId="0" borderId="2" xfId="0" applyNumberForma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167" fontId="14" fillId="0" borderId="2" xfId="5" applyNumberFormat="1" applyFont="1" applyFill="1" applyBorder="1" applyAlignment="1">
      <alignment horizontal="center"/>
    </xf>
    <xf numFmtId="167" fontId="14" fillId="0" borderId="0" xfId="5" applyNumberFormat="1" applyFont="1" applyFill="1" applyAlignment="1">
      <alignment horizontal="center" wrapText="1"/>
    </xf>
    <xf numFmtId="167" fontId="14" fillId="0" borderId="2" xfId="5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8">
    <cellStyle name="Comma" xfId="1" builtinId="3"/>
    <cellStyle name="Comma 2" xfId="4" xr:uid="{334C3388-5E8E-4D22-9A7E-38F0E5F324E6}"/>
    <cellStyle name="Comma_Worksheet in D: Mis documentos Clientes 2003 Holanda Informes Brenntag-Informe2002-2001" xfId="7" xr:uid="{C9E9A9C1-5EB9-430C-88A9-B49A9291586E}"/>
    <cellStyle name="Millares 10" xfId="2" xr:uid="{175D345C-9B0A-4259-B53E-36797956172B}"/>
    <cellStyle name="Millares 11" xfId="6" xr:uid="{35AFEF67-BA76-4479-AD6C-A124B84DD4A3}"/>
    <cellStyle name="Millares 2" xfId="5" xr:uid="{CD86957E-64B8-464F-A781-E0904C48207D}"/>
    <cellStyle name="Normal" xfId="0" builtinId="0"/>
    <cellStyle name="Normal 2 10" xfId="3" xr:uid="{49020D21-9E27-4764-8B9C-8AD56F9B8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net\COMPA&#209;IAS%20RELACIONADAS\CONTABILIDAD%20TELCODATA\BALANCE%20SERVICIOS%20TELCODATA%20DICIEMBRE_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net/COMPA&#209;IAS%20RELACIONADAS/CONTABILIDAD%20TELCODATA/BALANCE%20SERVICIOS%20TELCODATA%20DICIEMBRE_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yores T"/>
      <sheetName val="BALANCE"/>
      <sheetName val="Hoja1"/>
      <sheetName val="mayor TD"/>
      <sheetName val="Hoja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yores T"/>
      <sheetName val="BALANCE"/>
      <sheetName val="Hoja1"/>
      <sheetName val="mayor TD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70A2-0089-4A30-95FB-26CFAF5C69B1}">
  <dimension ref="A1:M95"/>
  <sheetViews>
    <sheetView topLeftCell="B4" workbookViewId="0">
      <selection activeCell="E28" sqref="E28"/>
    </sheetView>
  </sheetViews>
  <sheetFormatPr defaultColWidth="11.42578125" defaultRowHeight="12" x14ac:dyDescent="0.2"/>
  <cols>
    <col min="1" max="1" width="38.85546875" style="26" bestFit="1" customWidth="1"/>
    <col min="2" max="2" width="12.85546875" style="26" bestFit="1" customWidth="1"/>
    <col min="3" max="3" width="11.7109375" style="26" bestFit="1" customWidth="1"/>
    <col min="4" max="4" width="41.5703125" style="26" bestFit="1" customWidth="1"/>
    <col min="5" max="6" width="12" style="26" bestFit="1" customWidth="1"/>
    <col min="7" max="7" width="11.42578125" style="26"/>
    <col min="8" max="8" width="13.28515625" style="26" bestFit="1" customWidth="1"/>
    <col min="9" max="16384" width="11.42578125" style="26"/>
  </cols>
  <sheetData>
    <row r="1" spans="1:9" x14ac:dyDescent="0.2">
      <c r="A1" s="23"/>
      <c r="B1" s="24"/>
      <c r="C1" s="25"/>
      <c r="D1" s="23"/>
      <c r="E1" s="24"/>
      <c r="F1" s="25"/>
    </row>
    <row r="2" spans="1:9" x14ac:dyDescent="0.2">
      <c r="A2" s="24" t="s">
        <v>39</v>
      </c>
      <c r="B2" s="27">
        <v>2019</v>
      </c>
      <c r="C2" s="27">
        <v>2018</v>
      </c>
      <c r="D2" s="24" t="s">
        <v>40</v>
      </c>
      <c r="E2" s="27">
        <v>2019</v>
      </c>
      <c r="F2" s="27">
        <v>2018</v>
      </c>
      <c r="G2" s="28"/>
      <c r="H2" s="29"/>
      <c r="I2" s="29"/>
    </row>
    <row r="3" spans="1:9" x14ac:dyDescent="0.2">
      <c r="A3" s="23"/>
      <c r="B3" s="24"/>
      <c r="C3" s="24"/>
      <c r="D3" s="23"/>
      <c r="E3" s="23"/>
      <c r="F3" s="23"/>
    </row>
    <row r="4" spans="1:9" x14ac:dyDescent="0.2">
      <c r="A4" s="30" t="s">
        <v>41</v>
      </c>
      <c r="B4" s="24"/>
      <c r="C4" s="24"/>
      <c r="D4" s="31" t="s">
        <v>42</v>
      </c>
      <c r="E4" s="32"/>
      <c r="F4" s="32"/>
    </row>
    <row r="5" spans="1:9" x14ac:dyDescent="0.2">
      <c r="A5" s="33" t="s">
        <v>43</v>
      </c>
      <c r="B5" s="34"/>
      <c r="C5" s="34"/>
      <c r="D5" s="33" t="s">
        <v>44</v>
      </c>
      <c r="E5" s="34"/>
      <c r="F5" s="34"/>
      <c r="H5" s="35"/>
      <c r="I5" s="35"/>
    </row>
    <row r="6" spans="1:9" x14ac:dyDescent="0.2">
      <c r="A6" s="33" t="s">
        <v>45</v>
      </c>
      <c r="B6" s="34"/>
      <c r="C6" s="34"/>
      <c r="D6" s="33" t="s">
        <v>46</v>
      </c>
      <c r="E6" s="32"/>
      <c r="F6" s="32"/>
      <c r="H6" s="35"/>
      <c r="I6" s="35"/>
    </row>
    <row r="7" spans="1:9" x14ac:dyDescent="0.2">
      <c r="A7" s="33" t="s">
        <v>47</v>
      </c>
      <c r="B7" s="34"/>
      <c r="C7" s="34"/>
      <c r="D7" s="33" t="s">
        <v>48</v>
      </c>
      <c r="E7" s="32"/>
      <c r="F7" s="32"/>
      <c r="H7" s="35"/>
      <c r="I7" s="35"/>
    </row>
    <row r="8" spans="1:9" x14ac:dyDescent="0.2">
      <c r="A8" s="33" t="s">
        <v>49</v>
      </c>
      <c r="B8" s="34"/>
      <c r="C8" s="34"/>
      <c r="D8" s="33" t="s">
        <v>50</v>
      </c>
      <c r="E8" s="36"/>
      <c r="F8" s="36"/>
      <c r="H8" s="35"/>
      <c r="I8" s="35"/>
    </row>
    <row r="9" spans="1:9" x14ac:dyDescent="0.2">
      <c r="A9" s="33" t="s">
        <v>51</v>
      </c>
      <c r="B9" s="34"/>
      <c r="C9" s="34"/>
      <c r="D9" s="33" t="s">
        <v>52</v>
      </c>
      <c r="E9" s="32"/>
      <c r="F9" s="32"/>
      <c r="H9" s="35"/>
      <c r="I9" s="35"/>
    </row>
    <row r="10" spans="1:9" x14ac:dyDescent="0.2">
      <c r="A10" s="33" t="s">
        <v>53</v>
      </c>
      <c r="B10" s="34"/>
      <c r="C10" s="34"/>
      <c r="D10" s="33" t="s">
        <v>54</v>
      </c>
      <c r="E10" s="32"/>
      <c r="F10" s="32"/>
      <c r="H10" s="35"/>
      <c r="I10" s="35"/>
    </row>
    <row r="11" spans="1:9" x14ac:dyDescent="0.2">
      <c r="A11" s="33" t="s">
        <v>55</v>
      </c>
      <c r="B11" s="34"/>
      <c r="C11" s="34"/>
      <c r="D11" s="33" t="s">
        <v>56</v>
      </c>
      <c r="E11" s="32"/>
      <c r="F11" s="32"/>
      <c r="H11" s="35"/>
      <c r="I11" s="35"/>
    </row>
    <row r="12" spans="1:9" x14ac:dyDescent="0.2">
      <c r="A12" s="33" t="s">
        <v>57</v>
      </c>
      <c r="B12" s="34"/>
      <c r="C12" s="34"/>
      <c r="D12" s="33" t="s">
        <v>58</v>
      </c>
      <c r="E12" s="32"/>
      <c r="F12" s="32"/>
      <c r="H12" s="35"/>
      <c r="I12" s="35"/>
    </row>
    <row r="13" spans="1:9" x14ac:dyDescent="0.2">
      <c r="A13" s="33" t="s">
        <v>59</v>
      </c>
      <c r="B13" s="34"/>
      <c r="C13" s="34"/>
      <c r="D13" s="33" t="s">
        <v>60</v>
      </c>
      <c r="E13" s="32"/>
      <c r="F13" s="32"/>
      <c r="H13" s="35"/>
      <c r="I13" s="35"/>
    </row>
    <row r="14" spans="1:9" x14ac:dyDescent="0.2">
      <c r="A14" s="30" t="s">
        <v>61</v>
      </c>
      <c r="B14" s="37">
        <f>SUM(B5:B13)</f>
        <v>0</v>
      </c>
      <c r="C14" s="37"/>
      <c r="D14" s="38" t="s">
        <v>62</v>
      </c>
      <c r="E14" s="39">
        <f>SUM(E5:E13)</f>
        <v>0</v>
      </c>
      <c r="F14" s="39"/>
      <c r="G14" s="36"/>
      <c r="H14" s="35"/>
      <c r="I14" s="35"/>
    </row>
    <row r="15" spans="1:9" x14ac:dyDescent="0.2">
      <c r="A15" s="33"/>
      <c r="B15" s="34"/>
      <c r="C15" s="34"/>
      <c r="H15" s="35"/>
      <c r="I15" s="35"/>
    </row>
    <row r="16" spans="1:9" x14ac:dyDescent="0.2">
      <c r="A16" s="30" t="s">
        <v>63</v>
      </c>
      <c r="B16" s="34"/>
      <c r="C16" s="34"/>
      <c r="D16" s="31" t="s">
        <v>64</v>
      </c>
      <c r="H16" s="35"/>
      <c r="I16" s="35"/>
    </row>
    <row r="17" spans="1:13" x14ac:dyDescent="0.2">
      <c r="A17" s="33" t="s">
        <v>51</v>
      </c>
      <c r="B17" s="34"/>
      <c r="C17" s="34"/>
      <c r="D17" s="40" t="s">
        <v>65</v>
      </c>
      <c r="E17" s="32"/>
      <c r="F17" s="32"/>
      <c r="H17" s="35"/>
      <c r="I17" s="35"/>
    </row>
    <row r="18" spans="1:13" x14ac:dyDescent="0.2">
      <c r="A18" s="33" t="s">
        <v>55</v>
      </c>
      <c r="B18" s="34"/>
      <c r="C18" s="34"/>
      <c r="D18" s="40" t="s">
        <v>66</v>
      </c>
      <c r="E18" s="32"/>
      <c r="F18" s="32"/>
      <c r="H18" s="35"/>
      <c r="I18" s="35"/>
    </row>
    <row r="19" spans="1:13" x14ac:dyDescent="0.2">
      <c r="A19" s="33" t="s">
        <v>67</v>
      </c>
      <c r="B19" s="34">
        <f>+'BC 2019'!G16</f>
        <v>1138227.55</v>
      </c>
      <c r="C19" s="34"/>
      <c r="D19" s="33" t="s">
        <v>50</v>
      </c>
      <c r="E19" s="32"/>
      <c r="F19" s="32"/>
      <c r="H19" s="35"/>
      <c r="I19" s="35"/>
    </row>
    <row r="20" spans="1:13" x14ac:dyDescent="0.2">
      <c r="A20" s="33" t="s">
        <v>68</v>
      </c>
      <c r="B20" s="34"/>
      <c r="C20" s="34"/>
      <c r="D20" s="33" t="s">
        <v>52</v>
      </c>
      <c r="E20" s="32"/>
      <c r="F20" s="32"/>
      <c r="G20" s="36"/>
      <c r="H20" s="35"/>
      <c r="I20" s="35"/>
      <c r="K20" s="41"/>
      <c r="M20" s="41"/>
    </row>
    <row r="21" spans="1:13" x14ac:dyDescent="0.2">
      <c r="A21" s="33" t="s">
        <v>69</v>
      </c>
      <c r="B21" s="34"/>
      <c r="C21" s="34"/>
      <c r="D21" s="33" t="s">
        <v>56</v>
      </c>
      <c r="E21" s="32"/>
      <c r="F21" s="32"/>
      <c r="H21" s="35"/>
      <c r="I21" s="35"/>
      <c r="J21" s="24"/>
      <c r="K21" s="41"/>
      <c r="L21" s="24"/>
      <c r="M21" s="41"/>
    </row>
    <row r="22" spans="1:13" x14ac:dyDescent="0.2">
      <c r="A22" s="33" t="s">
        <v>70</v>
      </c>
      <c r="B22" s="34"/>
      <c r="C22" s="34"/>
      <c r="D22" s="33" t="s">
        <v>71</v>
      </c>
      <c r="E22" s="32"/>
      <c r="F22" s="32"/>
      <c r="H22" s="35"/>
      <c r="I22" s="35"/>
    </row>
    <row r="23" spans="1:13" x14ac:dyDescent="0.2">
      <c r="A23" s="33" t="s">
        <v>72</v>
      </c>
      <c r="B23" s="34"/>
      <c r="C23" s="34"/>
      <c r="D23" s="33" t="s">
        <v>58</v>
      </c>
      <c r="E23" s="32"/>
      <c r="F23" s="32"/>
      <c r="H23" s="35"/>
      <c r="I23" s="35"/>
    </row>
    <row r="24" spans="1:13" x14ac:dyDescent="0.2">
      <c r="A24" s="33" t="s">
        <v>73</v>
      </c>
      <c r="B24" s="34"/>
      <c r="C24" s="34"/>
      <c r="D24" s="33" t="s">
        <v>74</v>
      </c>
      <c r="E24" s="42"/>
      <c r="F24" s="42"/>
      <c r="H24" s="35"/>
      <c r="I24" s="35"/>
    </row>
    <row r="25" spans="1:13" x14ac:dyDescent="0.2">
      <c r="A25" s="33" t="s">
        <v>75</v>
      </c>
      <c r="B25" s="43"/>
      <c r="C25" s="43"/>
      <c r="D25" s="33" t="s">
        <v>76</v>
      </c>
      <c r="E25" s="44"/>
      <c r="F25" s="44"/>
      <c r="H25" s="35"/>
      <c r="I25" s="35"/>
    </row>
    <row r="26" spans="1:13" x14ac:dyDescent="0.2">
      <c r="A26" s="33"/>
      <c r="B26" s="34"/>
      <c r="C26" s="34"/>
      <c r="D26" s="38" t="s">
        <v>77</v>
      </c>
      <c r="E26" s="43">
        <f>SUM(E17:E25)</f>
        <v>0</v>
      </c>
      <c r="F26" s="43"/>
      <c r="H26" s="35"/>
      <c r="I26" s="35"/>
    </row>
    <row r="27" spans="1:13" x14ac:dyDescent="0.2">
      <c r="A27" s="30" t="s">
        <v>78</v>
      </c>
      <c r="B27" s="42">
        <f>SUM(B17:B25)</f>
        <v>1138227.55</v>
      </c>
      <c r="C27" s="42"/>
      <c r="D27" s="38" t="s">
        <v>79</v>
      </c>
      <c r="E27" s="45">
        <f>+E26+E14</f>
        <v>0</v>
      </c>
      <c r="F27" s="45"/>
      <c r="H27" s="35"/>
      <c r="I27" s="35"/>
    </row>
    <row r="28" spans="1:13" x14ac:dyDescent="0.2">
      <c r="A28" s="30"/>
      <c r="B28" s="32"/>
      <c r="C28" s="32"/>
      <c r="D28" s="38"/>
      <c r="E28" s="46"/>
      <c r="F28" s="46"/>
      <c r="H28" s="35"/>
      <c r="I28" s="35"/>
    </row>
    <row r="29" spans="1:13" ht="12" customHeight="1" x14ac:dyDescent="0.2">
      <c r="D29" s="38" t="s">
        <v>80</v>
      </c>
      <c r="E29" s="47">
        <v>1138228</v>
      </c>
      <c r="F29" s="47"/>
      <c r="H29" s="35"/>
      <c r="I29" s="35"/>
    </row>
    <row r="30" spans="1:13" ht="5.0999999999999996" customHeight="1" x14ac:dyDescent="0.2">
      <c r="H30" s="35"/>
      <c r="I30" s="35"/>
    </row>
    <row r="31" spans="1:13" ht="12.75" thickBot="1" x14ac:dyDescent="0.25">
      <c r="A31" s="23" t="s">
        <v>81</v>
      </c>
      <c r="B31" s="48">
        <f>+B27+B14</f>
        <v>1138227.55</v>
      </c>
      <c r="C31" s="48"/>
      <c r="D31" s="49" t="s">
        <v>82</v>
      </c>
      <c r="E31" s="50">
        <f>+E29+E27</f>
        <v>1138228</v>
      </c>
      <c r="F31" s="50"/>
      <c r="H31" s="35"/>
      <c r="I31" s="35"/>
    </row>
    <row r="32" spans="1:13" ht="5.0999999999999996" customHeight="1" thickTop="1" x14ac:dyDescent="0.2">
      <c r="D32" s="46"/>
      <c r="E32" s="46"/>
      <c r="F32" s="46"/>
      <c r="H32" s="35"/>
      <c r="I32" s="35"/>
    </row>
    <row r="33" spans="1:8" ht="5.0999999999999996" customHeight="1" x14ac:dyDescent="0.2">
      <c r="B33" s="51"/>
      <c r="C33" s="51"/>
      <c r="D33" s="46"/>
      <c r="E33" s="46"/>
      <c r="F33" s="46"/>
      <c r="H33" s="46"/>
    </row>
    <row r="34" spans="1:8" x14ac:dyDescent="0.2">
      <c r="B34" s="51"/>
      <c r="C34" s="51"/>
      <c r="D34" s="46"/>
      <c r="E34" s="51"/>
      <c r="F34" s="46"/>
      <c r="H34" s="46"/>
    </row>
    <row r="35" spans="1:8" x14ac:dyDescent="0.2">
      <c r="B35" s="51"/>
      <c r="C35" s="51"/>
      <c r="D35" s="46"/>
      <c r="E35" s="51"/>
      <c r="H35" s="46"/>
    </row>
    <row r="36" spans="1:8" x14ac:dyDescent="0.2">
      <c r="B36" s="51"/>
      <c r="C36" s="51"/>
      <c r="D36" s="46"/>
      <c r="H36" s="46"/>
    </row>
    <row r="37" spans="1:8" x14ac:dyDescent="0.2">
      <c r="B37" s="51"/>
      <c r="C37" s="51"/>
      <c r="D37" s="46"/>
      <c r="E37" s="46"/>
      <c r="F37" s="46"/>
      <c r="H37" s="46"/>
    </row>
    <row r="38" spans="1:8" x14ac:dyDescent="0.2">
      <c r="B38" s="51"/>
      <c r="C38" s="51"/>
      <c r="D38" s="46"/>
      <c r="E38" s="46"/>
      <c r="F38" s="46"/>
      <c r="H38" s="46"/>
    </row>
    <row r="39" spans="1:8" x14ac:dyDescent="0.2">
      <c r="A39" s="46"/>
      <c r="B39" s="51"/>
      <c r="C39" s="51"/>
      <c r="D39" s="46"/>
      <c r="E39" s="46"/>
      <c r="F39" s="46"/>
      <c r="H39" s="46"/>
    </row>
    <row r="40" spans="1:8" x14ac:dyDescent="0.2">
      <c r="A40" s="51"/>
      <c r="B40" s="34"/>
      <c r="C40" s="51"/>
      <c r="D40" s="46"/>
      <c r="E40" s="46"/>
      <c r="F40" s="46"/>
      <c r="H40" s="46"/>
    </row>
    <row r="41" spans="1:8" x14ac:dyDescent="0.2">
      <c r="B41" s="51"/>
      <c r="C41" s="51"/>
      <c r="D41" s="46"/>
      <c r="H41" s="46"/>
    </row>
    <row r="42" spans="1:8" x14ac:dyDescent="0.2">
      <c r="B42" s="51"/>
      <c r="C42" s="51"/>
      <c r="D42" s="46"/>
      <c r="H42" s="46"/>
    </row>
    <row r="43" spans="1:8" x14ac:dyDescent="0.2">
      <c r="B43" s="51"/>
      <c r="C43" s="51"/>
      <c r="D43" s="46"/>
      <c r="E43" s="46"/>
      <c r="F43" s="46"/>
      <c r="H43" s="46"/>
    </row>
    <row r="44" spans="1:8" x14ac:dyDescent="0.2">
      <c r="B44" s="51"/>
      <c r="C44" s="51"/>
      <c r="D44" s="46"/>
      <c r="H44" s="46"/>
    </row>
    <row r="45" spans="1:8" x14ac:dyDescent="0.2">
      <c r="B45" s="51"/>
      <c r="C45" s="51"/>
      <c r="D45" s="46"/>
      <c r="H45" s="46"/>
    </row>
    <row r="46" spans="1:8" x14ac:dyDescent="0.2">
      <c r="B46" s="51"/>
      <c r="C46" s="51"/>
      <c r="D46" s="46"/>
      <c r="E46" s="46"/>
      <c r="F46" s="46"/>
      <c r="H46" s="46"/>
    </row>
    <row r="47" spans="1:8" x14ac:dyDescent="0.2">
      <c r="B47" s="51"/>
      <c r="C47" s="51"/>
      <c r="D47" s="46"/>
      <c r="E47" s="46"/>
      <c r="F47" s="46"/>
      <c r="H47" s="46"/>
    </row>
    <row r="48" spans="1:8" x14ac:dyDescent="0.2">
      <c r="B48" s="51"/>
      <c r="C48" s="51"/>
      <c r="D48" s="46"/>
      <c r="E48" s="46"/>
      <c r="F48" s="46"/>
      <c r="H48" s="46"/>
    </row>
    <row r="49" spans="1:8" x14ac:dyDescent="0.2">
      <c r="B49" s="51"/>
      <c r="C49" s="51"/>
      <c r="D49" s="46"/>
      <c r="H49" s="46"/>
    </row>
    <row r="50" spans="1:8" x14ac:dyDescent="0.2">
      <c r="B50" s="51"/>
      <c r="C50" s="51"/>
      <c r="D50" s="46"/>
      <c r="H50" s="46"/>
    </row>
    <row r="51" spans="1:8" x14ac:dyDescent="0.2">
      <c r="B51" s="51"/>
      <c r="C51" s="51"/>
      <c r="D51" s="46"/>
      <c r="H51" s="46"/>
    </row>
    <row r="52" spans="1:8" x14ac:dyDescent="0.2">
      <c r="B52" s="51"/>
      <c r="C52" s="51"/>
      <c r="D52" s="46"/>
      <c r="H52" s="46"/>
    </row>
    <row r="53" spans="1:8" x14ac:dyDescent="0.2">
      <c r="B53" s="51"/>
      <c r="C53" s="51"/>
      <c r="D53" s="46"/>
      <c r="E53" s="46"/>
      <c r="F53" s="46"/>
      <c r="H53" s="46"/>
    </row>
    <row r="54" spans="1:8" x14ac:dyDescent="0.2">
      <c r="A54" s="46"/>
      <c r="B54" s="51"/>
      <c r="C54" s="51"/>
      <c r="D54" s="46"/>
      <c r="H54" s="46"/>
    </row>
    <row r="55" spans="1:8" x14ac:dyDescent="0.2">
      <c r="B55" s="51"/>
      <c r="C55" s="51"/>
      <c r="D55" s="46"/>
      <c r="H55" s="46"/>
    </row>
    <row r="56" spans="1:8" x14ac:dyDescent="0.2">
      <c r="B56" s="51"/>
      <c r="C56" s="51"/>
      <c r="D56" s="46"/>
      <c r="H56" s="46"/>
    </row>
    <row r="57" spans="1:8" x14ac:dyDescent="0.2">
      <c r="D57" s="46"/>
      <c r="E57" s="46"/>
      <c r="F57" s="46"/>
      <c r="H57" s="46"/>
    </row>
    <row r="58" spans="1:8" x14ac:dyDescent="0.2">
      <c r="B58" s="46"/>
      <c r="C58" s="46"/>
      <c r="D58" s="46"/>
      <c r="H58" s="46"/>
    </row>
    <row r="59" spans="1:8" x14ac:dyDescent="0.2">
      <c r="B59" s="46"/>
      <c r="C59" s="46"/>
      <c r="D59" s="46"/>
      <c r="H59" s="46"/>
    </row>
    <row r="60" spans="1:8" x14ac:dyDescent="0.2">
      <c r="A60" s="46"/>
      <c r="B60" s="46"/>
      <c r="C60" s="46"/>
      <c r="D60" s="52"/>
      <c r="H60" s="46"/>
    </row>
    <row r="61" spans="1:8" x14ac:dyDescent="0.2">
      <c r="B61" s="46"/>
      <c r="C61" s="46"/>
      <c r="D61" s="52"/>
      <c r="H61" s="46"/>
    </row>
    <row r="62" spans="1:8" x14ac:dyDescent="0.2">
      <c r="B62" s="46"/>
      <c r="C62" s="46"/>
      <c r="D62" s="52"/>
      <c r="H62" s="46"/>
    </row>
    <row r="63" spans="1:8" x14ac:dyDescent="0.2">
      <c r="B63" s="51"/>
      <c r="C63" s="51"/>
      <c r="D63" s="52"/>
      <c r="H63" s="46"/>
    </row>
    <row r="64" spans="1:8" x14ac:dyDescent="0.2">
      <c r="B64" s="46"/>
      <c r="C64" s="46"/>
      <c r="D64" s="52"/>
      <c r="H64" s="46"/>
    </row>
    <row r="65" spans="2:8" x14ac:dyDescent="0.2">
      <c r="D65" s="52"/>
      <c r="H65" s="46"/>
    </row>
    <row r="66" spans="2:8" x14ac:dyDescent="0.2">
      <c r="B66" s="46"/>
      <c r="C66" s="46"/>
      <c r="D66" s="52"/>
      <c r="H66" s="46"/>
    </row>
    <row r="67" spans="2:8" x14ac:dyDescent="0.2">
      <c r="B67" s="46"/>
      <c r="C67" s="46"/>
      <c r="D67" s="52"/>
      <c r="H67" s="46"/>
    </row>
    <row r="68" spans="2:8" x14ac:dyDescent="0.2">
      <c r="B68" s="46"/>
      <c r="C68" s="46"/>
      <c r="D68" s="52"/>
      <c r="H68" s="46"/>
    </row>
    <row r="69" spans="2:8" x14ac:dyDescent="0.2">
      <c r="B69" s="46"/>
      <c r="C69" s="46"/>
      <c r="D69" s="52"/>
      <c r="H69" s="46"/>
    </row>
    <row r="70" spans="2:8" x14ac:dyDescent="0.2">
      <c r="B70" s="46"/>
      <c r="C70" s="46"/>
      <c r="D70" s="52"/>
      <c r="H70" s="46"/>
    </row>
    <row r="71" spans="2:8" x14ac:dyDescent="0.2">
      <c r="B71" s="46"/>
      <c r="C71" s="46"/>
      <c r="D71" s="52"/>
      <c r="H71" s="46"/>
    </row>
    <row r="72" spans="2:8" x14ac:dyDescent="0.2">
      <c r="B72" s="52"/>
      <c r="C72" s="52"/>
      <c r="D72" s="52"/>
      <c r="H72" s="46"/>
    </row>
    <row r="73" spans="2:8" x14ac:dyDescent="0.2">
      <c r="B73" s="52"/>
      <c r="C73" s="52"/>
      <c r="D73" s="52"/>
      <c r="H73" s="46"/>
    </row>
    <row r="74" spans="2:8" x14ac:dyDescent="0.2">
      <c r="D74" s="52"/>
      <c r="H74" s="46"/>
    </row>
    <row r="75" spans="2:8" x14ac:dyDescent="0.2">
      <c r="H75" s="46"/>
    </row>
    <row r="76" spans="2:8" x14ac:dyDescent="0.2">
      <c r="H76" s="46"/>
    </row>
    <row r="77" spans="2:8" x14ac:dyDescent="0.2">
      <c r="H77" s="46"/>
    </row>
    <row r="78" spans="2:8" x14ac:dyDescent="0.2">
      <c r="H78" s="46"/>
    </row>
    <row r="79" spans="2:8" x14ac:dyDescent="0.2">
      <c r="H79" s="46"/>
    </row>
    <row r="80" spans="2:8" x14ac:dyDescent="0.2">
      <c r="H80" s="46"/>
    </row>
    <row r="81" spans="8:8" x14ac:dyDescent="0.2">
      <c r="H81" s="46"/>
    </row>
    <row r="82" spans="8:8" x14ac:dyDescent="0.2">
      <c r="H82" s="46"/>
    </row>
    <row r="83" spans="8:8" x14ac:dyDescent="0.2">
      <c r="H83" s="46"/>
    </row>
    <row r="84" spans="8:8" x14ac:dyDescent="0.2">
      <c r="H84" s="46"/>
    </row>
    <row r="85" spans="8:8" x14ac:dyDescent="0.2">
      <c r="H85" s="46"/>
    </row>
    <row r="86" spans="8:8" x14ac:dyDescent="0.2">
      <c r="H86" s="46"/>
    </row>
    <row r="87" spans="8:8" x14ac:dyDescent="0.2">
      <c r="H87" s="46"/>
    </row>
    <row r="88" spans="8:8" x14ac:dyDescent="0.2">
      <c r="H88" s="46"/>
    </row>
    <row r="89" spans="8:8" x14ac:dyDescent="0.2">
      <c r="H89" s="46"/>
    </row>
    <row r="90" spans="8:8" x14ac:dyDescent="0.2">
      <c r="H90" s="46"/>
    </row>
    <row r="91" spans="8:8" x14ac:dyDescent="0.2">
      <c r="H91" s="46"/>
    </row>
    <row r="92" spans="8:8" x14ac:dyDescent="0.2">
      <c r="H92" s="46"/>
    </row>
    <row r="93" spans="8:8" x14ac:dyDescent="0.2">
      <c r="H93" s="46"/>
    </row>
    <row r="94" spans="8:8" x14ac:dyDescent="0.2">
      <c r="H94" s="46"/>
    </row>
    <row r="95" spans="8:8" x14ac:dyDescent="0.2">
      <c r="H95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A95A-3294-42C7-B734-01A07B244447}">
  <dimension ref="A1:I36"/>
  <sheetViews>
    <sheetView topLeftCell="A7" workbookViewId="0">
      <selection activeCell="B31" sqref="B31"/>
    </sheetView>
  </sheetViews>
  <sheetFormatPr defaultColWidth="11.42578125" defaultRowHeight="12" x14ac:dyDescent="0.2"/>
  <cols>
    <col min="1" max="1" width="43.140625" style="26" customWidth="1"/>
    <col min="2" max="2" width="10" style="66" bestFit="1" customWidth="1"/>
    <col min="3" max="3" width="1.28515625" style="26" customWidth="1"/>
    <col min="4" max="4" width="15.7109375" style="26" customWidth="1"/>
    <col min="5" max="5" width="1.7109375" style="26" customWidth="1"/>
    <col min="6" max="6" width="13.28515625" style="26" bestFit="1" customWidth="1"/>
    <col min="7" max="7" width="15.28515625" style="26" bestFit="1" customWidth="1"/>
    <col min="8" max="8" width="12.85546875" style="26" bestFit="1" customWidth="1"/>
    <col min="9" max="16384" width="11.42578125" style="26"/>
  </cols>
  <sheetData>
    <row r="1" spans="1:7" s="55" customFormat="1" x14ac:dyDescent="0.2">
      <c r="A1" s="53"/>
      <c r="B1" s="54"/>
    </row>
    <row r="2" spans="1:7" s="55" customFormat="1" ht="14.25" x14ac:dyDescent="0.35">
      <c r="A2" s="53"/>
      <c r="B2" s="56">
        <v>2019</v>
      </c>
      <c r="C2" s="57"/>
      <c r="D2" s="57">
        <v>2018</v>
      </c>
    </row>
    <row r="3" spans="1:7" ht="14.25" x14ac:dyDescent="0.35">
      <c r="A3" s="58"/>
      <c r="B3" s="56"/>
      <c r="C3" s="57"/>
      <c r="D3" s="57"/>
    </row>
    <row r="4" spans="1:7" ht="15" x14ac:dyDescent="0.25">
      <c r="A4" s="59" t="s">
        <v>83</v>
      </c>
      <c r="B4" s="60"/>
      <c r="C4" s="61"/>
      <c r="D4" s="62"/>
      <c r="G4" s="63"/>
    </row>
    <row r="5" spans="1:7" x14ac:dyDescent="0.2">
      <c r="A5" s="59" t="s">
        <v>84</v>
      </c>
      <c r="B5" s="64"/>
      <c r="C5" s="61"/>
      <c r="D5" s="65"/>
    </row>
    <row r="6" spans="1:7" x14ac:dyDescent="0.2">
      <c r="B6" s="66">
        <f>+B4+B5</f>
        <v>0</v>
      </c>
      <c r="C6" s="67"/>
      <c r="D6" s="67"/>
    </row>
    <row r="7" spans="1:7" x14ac:dyDescent="0.2">
      <c r="A7" s="59" t="s">
        <v>85</v>
      </c>
      <c r="B7" s="34"/>
      <c r="C7" s="61"/>
      <c r="D7" s="61"/>
    </row>
    <row r="8" spans="1:7" x14ac:dyDescent="0.2">
      <c r="A8" s="59"/>
      <c r="B8" s="34"/>
      <c r="C8" s="61"/>
      <c r="D8" s="61"/>
    </row>
    <row r="9" spans="1:7" x14ac:dyDescent="0.2">
      <c r="A9" s="58" t="s">
        <v>86</v>
      </c>
      <c r="C9" s="61"/>
      <c r="D9" s="61"/>
    </row>
    <row r="10" spans="1:7" x14ac:dyDescent="0.2">
      <c r="A10" s="59" t="s">
        <v>87</v>
      </c>
      <c r="B10" s="43">
        <v>-40586</v>
      </c>
      <c r="C10" s="61"/>
      <c r="D10" s="68"/>
    </row>
    <row r="11" spans="1:7" x14ac:dyDescent="0.2">
      <c r="A11" s="59"/>
      <c r="B11" s="34"/>
      <c r="C11" s="61"/>
      <c r="D11" s="61"/>
    </row>
    <row r="12" spans="1:7" x14ac:dyDescent="0.2">
      <c r="A12" s="59" t="s">
        <v>88</v>
      </c>
      <c r="B12" s="34">
        <f>+B6+B10</f>
        <v>-40586</v>
      </c>
      <c r="C12" s="61"/>
      <c r="D12" s="61"/>
    </row>
    <row r="13" spans="1:7" x14ac:dyDescent="0.2">
      <c r="A13" s="59"/>
      <c r="B13" s="34"/>
      <c r="C13" s="61"/>
      <c r="D13" s="61"/>
    </row>
    <row r="14" spans="1:7" x14ac:dyDescent="0.2">
      <c r="A14" s="59" t="s">
        <v>89</v>
      </c>
      <c r="B14" s="34"/>
      <c r="C14" s="61"/>
      <c r="D14" s="61"/>
    </row>
    <row r="15" spans="1:7" ht="15" x14ac:dyDescent="0.25">
      <c r="A15" s="59" t="s">
        <v>90</v>
      </c>
      <c r="B15" s="34"/>
      <c r="C15" s="61"/>
      <c r="D15" s="61"/>
      <c r="F15" s="63"/>
      <c r="G15" s="63"/>
    </row>
    <row r="16" spans="1:7" x14ac:dyDescent="0.2">
      <c r="A16" s="59"/>
      <c r="B16" s="43"/>
      <c r="C16" s="61"/>
      <c r="D16" s="68"/>
    </row>
    <row r="17" spans="1:9" ht="24" x14ac:dyDescent="0.2">
      <c r="A17" s="69" t="s">
        <v>91</v>
      </c>
      <c r="B17" s="34">
        <f>+B12+B15</f>
        <v>-40586</v>
      </c>
      <c r="C17" s="61"/>
      <c r="D17" s="61"/>
      <c r="F17" s="66"/>
    </row>
    <row r="18" spans="1:9" x14ac:dyDescent="0.2">
      <c r="A18" s="59"/>
      <c r="B18" s="34"/>
      <c r="C18" s="61"/>
      <c r="D18" s="61"/>
    </row>
    <row r="19" spans="1:9" x14ac:dyDescent="0.2">
      <c r="A19" s="59" t="s">
        <v>92</v>
      </c>
      <c r="B19" s="70">
        <v>0</v>
      </c>
      <c r="C19" s="71"/>
      <c r="D19" s="72"/>
      <c r="F19" s="73"/>
    </row>
    <row r="20" spans="1:9" x14ac:dyDescent="0.2">
      <c r="A20" s="59"/>
      <c r="B20" s="34"/>
      <c r="C20" s="61"/>
      <c r="D20" s="61"/>
    </row>
    <row r="21" spans="1:9" x14ac:dyDescent="0.2">
      <c r="A21" s="59" t="s">
        <v>93</v>
      </c>
      <c r="B21" s="34"/>
      <c r="C21" s="67"/>
      <c r="D21" s="61"/>
    </row>
    <row r="22" spans="1:9" x14ac:dyDescent="0.2">
      <c r="A22" s="23"/>
      <c r="C22" s="67"/>
      <c r="D22" s="67"/>
    </row>
    <row r="23" spans="1:9" ht="12.75" x14ac:dyDescent="0.2">
      <c r="A23" s="59" t="s">
        <v>94</v>
      </c>
      <c r="B23" s="74">
        <f>+B17+B21</f>
        <v>-40586</v>
      </c>
      <c r="C23" s="61"/>
      <c r="D23" s="75"/>
      <c r="E23" s="34"/>
      <c r="F23" s="76"/>
      <c r="G23" s="35"/>
      <c r="H23" s="77"/>
      <c r="I23" s="78"/>
    </row>
    <row r="24" spans="1:9" x14ac:dyDescent="0.2">
      <c r="C24" s="67"/>
      <c r="D24" s="67"/>
    </row>
    <row r="25" spans="1:9" x14ac:dyDescent="0.2">
      <c r="A25" s="58" t="s">
        <v>95</v>
      </c>
      <c r="C25" s="67"/>
      <c r="D25" s="67"/>
    </row>
    <row r="26" spans="1:9" x14ac:dyDescent="0.2">
      <c r="A26" s="23"/>
      <c r="C26" s="67"/>
      <c r="D26" s="67"/>
    </row>
    <row r="27" spans="1:9" ht="24" x14ac:dyDescent="0.2">
      <c r="A27" s="79" t="s">
        <v>96</v>
      </c>
      <c r="B27" s="64">
        <v>0</v>
      </c>
      <c r="C27" s="67"/>
      <c r="D27" s="65"/>
    </row>
    <row r="28" spans="1:9" x14ac:dyDescent="0.2">
      <c r="A28" s="23"/>
      <c r="C28" s="67"/>
      <c r="D28" s="67"/>
    </row>
    <row r="29" spans="1:9" ht="12.75" thickBot="1" x14ac:dyDescent="0.25">
      <c r="A29" s="59" t="s">
        <v>97</v>
      </c>
      <c r="B29" s="80">
        <f>+B23+B27</f>
        <v>-40586</v>
      </c>
      <c r="C29" s="67"/>
      <c r="D29" s="81"/>
    </row>
    <row r="30" spans="1:9" ht="12.75" thickTop="1" x14ac:dyDescent="0.2">
      <c r="A30" s="59"/>
      <c r="C30" s="67"/>
      <c r="D30" s="67"/>
    </row>
    <row r="31" spans="1:9" x14ac:dyDescent="0.2">
      <c r="B31" s="34"/>
      <c r="C31" s="61"/>
      <c r="D31" s="61"/>
    </row>
    <row r="32" spans="1:9" x14ac:dyDescent="0.2">
      <c r="B32" s="34"/>
      <c r="C32" s="67"/>
      <c r="D32" s="61"/>
    </row>
    <row r="36" spans="1:2" x14ac:dyDescent="0.2">
      <c r="A36" s="112" t="s">
        <v>98</v>
      </c>
      <c r="B36" s="112"/>
    </row>
  </sheetData>
  <mergeCells count="1">
    <mergeCell ref="A36:B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68C2-D9CA-4F45-ADF8-E923FF05324E}">
  <dimension ref="A1:N56"/>
  <sheetViews>
    <sheetView tabSelected="1" workbookViewId="0">
      <selection activeCell="F37" sqref="F37"/>
    </sheetView>
  </sheetViews>
  <sheetFormatPr defaultColWidth="11.42578125" defaultRowHeight="15" x14ac:dyDescent="0.25"/>
  <cols>
    <col min="1" max="1" width="36.7109375" customWidth="1"/>
    <col min="2" max="2" width="10" customWidth="1"/>
    <col min="3" max="4" width="11.140625" bestFit="1" customWidth="1"/>
    <col min="5" max="5" width="9" bestFit="1" customWidth="1"/>
    <col min="6" max="6" width="9" customWidth="1"/>
    <col min="7" max="7" width="11.140625" bestFit="1" customWidth="1"/>
    <col min="8" max="8" width="9.85546875" bestFit="1" customWidth="1"/>
    <col min="9" max="9" width="11.7109375" bestFit="1" customWidth="1"/>
    <col min="10" max="11" width="12" bestFit="1" customWidth="1"/>
    <col min="12" max="12" width="13.7109375" bestFit="1" customWidth="1"/>
  </cols>
  <sheetData>
    <row r="1" spans="1:13" s="82" customFormat="1" x14ac:dyDescent="0.25">
      <c r="C1" s="83"/>
      <c r="D1" s="83"/>
      <c r="E1" s="83"/>
      <c r="F1" s="83"/>
      <c r="G1" s="83"/>
      <c r="H1" s="113" t="s">
        <v>99</v>
      </c>
      <c r="I1" s="113"/>
      <c r="J1" s="113"/>
    </row>
    <row r="2" spans="1:13" s="82" customFormat="1" ht="14.25" customHeight="1" x14ac:dyDescent="0.25">
      <c r="B2" s="114" t="s">
        <v>100</v>
      </c>
      <c r="C2" s="84" t="s">
        <v>101</v>
      </c>
      <c r="F2" s="111" t="s">
        <v>134</v>
      </c>
      <c r="G2" s="84" t="s">
        <v>102</v>
      </c>
      <c r="H2" s="84" t="s">
        <v>103</v>
      </c>
      <c r="K2" s="85"/>
    </row>
    <row r="3" spans="1:13" s="82" customFormat="1" ht="14.25" customHeight="1" x14ac:dyDescent="0.25">
      <c r="B3" s="114"/>
      <c r="C3" s="84" t="s">
        <v>104</v>
      </c>
      <c r="D3" s="84" t="s">
        <v>105</v>
      </c>
      <c r="E3" s="84" t="s">
        <v>105</v>
      </c>
      <c r="F3" s="84" t="s">
        <v>135</v>
      </c>
      <c r="G3" s="84" t="s">
        <v>106</v>
      </c>
      <c r="H3" s="84" t="s">
        <v>107</v>
      </c>
      <c r="I3" s="84" t="s">
        <v>108</v>
      </c>
      <c r="J3" s="85" t="s">
        <v>109</v>
      </c>
      <c r="K3" s="85"/>
    </row>
    <row r="4" spans="1:13" s="82" customFormat="1" ht="23.25" x14ac:dyDescent="0.25">
      <c r="B4" s="115"/>
      <c r="C4" s="86" t="s">
        <v>110</v>
      </c>
      <c r="D4" s="86" t="s">
        <v>111</v>
      </c>
      <c r="E4" s="86" t="s">
        <v>112</v>
      </c>
      <c r="F4" s="86" t="s">
        <v>136</v>
      </c>
      <c r="G4" s="86" t="s">
        <v>113</v>
      </c>
      <c r="H4" s="86" t="s">
        <v>114</v>
      </c>
      <c r="I4" s="86" t="s">
        <v>115</v>
      </c>
      <c r="J4" s="87" t="s">
        <v>116</v>
      </c>
      <c r="K4" s="87" t="s">
        <v>117</v>
      </c>
    </row>
    <row r="5" spans="1:13" x14ac:dyDescent="0.25">
      <c r="B5" s="88"/>
      <c r="C5" s="88"/>
      <c r="D5" s="88"/>
      <c r="E5" s="88"/>
      <c r="F5" s="88"/>
      <c r="G5" s="88"/>
      <c r="H5" s="88"/>
      <c r="I5" s="88"/>
      <c r="J5" s="88"/>
      <c r="K5" s="88"/>
    </row>
    <row r="6" spans="1:13" hidden="1" x14ac:dyDescent="0.25">
      <c r="A6" s="89" t="s">
        <v>118</v>
      </c>
      <c r="B6" s="90">
        <v>9830611</v>
      </c>
      <c r="C6" s="91">
        <v>900000</v>
      </c>
      <c r="D6" s="91">
        <v>2751278</v>
      </c>
      <c r="E6" s="91">
        <v>36350</v>
      </c>
      <c r="F6" s="91"/>
      <c r="G6" s="91">
        <v>36350</v>
      </c>
      <c r="H6" s="91">
        <v>706749</v>
      </c>
      <c r="I6" s="91">
        <v>960263</v>
      </c>
      <c r="J6" s="91">
        <v>16280475</v>
      </c>
      <c r="K6" s="90">
        <v>31465726</v>
      </c>
    </row>
    <row r="7" spans="1:13" hidden="1" x14ac:dyDescent="0.25">
      <c r="B7" s="90"/>
      <c r="C7" s="88"/>
      <c r="D7" s="88"/>
      <c r="E7" s="88"/>
      <c r="F7" s="88"/>
      <c r="G7" s="88"/>
      <c r="H7" s="90"/>
      <c r="I7" s="90"/>
      <c r="J7" s="90"/>
      <c r="K7" s="88"/>
    </row>
    <row r="8" spans="1:13" hidden="1" x14ac:dyDescent="0.25">
      <c r="A8" s="89" t="s">
        <v>97</v>
      </c>
      <c r="B8" s="88">
        <v>0</v>
      </c>
      <c r="C8" s="88">
        <v>0</v>
      </c>
      <c r="D8" s="88">
        <v>0</v>
      </c>
      <c r="E8" s="88">
        <v>0</v>
      </c>
      <c r="F8" s="88"/>
      <c r="G8" s="88">
        <v>0</v>
      </c>
      <c r="H8" s="88">
        <v>0</v>
      </c>
      <c r="I8" s="88">
        <v>0</v>
      </c>
      <c r="J8" s="91">
        <v>3055040</v>
      </c>
      <c r="K8" s="91">
        <v>3055040</v>
      </c>
    </row>
    <row r="9" spans="1:13" hidden="1" x14ac:dyDescent="0.25">
      <c r="B9" s="90"/>
      <c r="C9" s="88"/>
      <c r="D9" s="88"/>
      <c r="E9" s="88"/>
      <c r="F9" s="88"/>
      <c r="G9" s="88"/>
      <c r="H9" s="90"/>
      <c r="I9" s="90"/>
      <c r="J9" s="90"/>
      <c r="K9" s="88"/>
    </row>
    <row r="10" spans="1:13" hidden="1" x14ac:dyDescent="0.25">
      <c r="A10" s="92" t="s">
        <v>119</v>
      </c>
      <c r="B10" s="93">
        <v>0</v>
      </c>
      <c r="C10" s="93">
        <v>0</v>
      </c>
      <c r="D10" s="93">
        <v>305504</v>
      </c>
      <c r="E10" s="93">
        <v>0</v>
      </c>
      <c r="F10" s="93"/>
      <c r="G10" s="93">
        <v>0</v>
      </c>
      <c r="H10" s="93">
        <v>0</v>
      </c>
      <c r="I10" s="93">
        <v>0</v>
      </c>
      <c r="J10" s="91">
        <v>-305504</v>
      </c>
      <c r="K10" s="91">
        <v>0</v>
      </c>
    </row>
    <row r="11" spans="1:13" hidden="1" x14ac:dyDescent="0.25">
      <c r="B11" s="93"/>
      <c r="C11" s="88"/>
      <c r="D11" s="88"/>
      <c r="E11" s="88"/>
      <c r="F11" s="88"/>
      <c r="G11" s="88"/>
      <c r="H11" s="93"/>
      <c r="I11" s="93"/>
      <c r="J11" s="93"/>
      <c r="K11" s="93"/>
    </row>
    <row r="12" spans="1:13" hidden="1" x14ac:dyDescent="0.25">
      <c r="A12" s="89" t="s">
        <v>120</v>
      </c>
      <c r="B12" s="94">
        <v>23879352</v>
      </c>
      <c r="C12" s="94">
        <v>705936</v>
      </c>
      <c r="D12" s="94">
        <v>3982138</v>
      </c>
      <c r="E12" s="94">
        <v>34797</v>
      </c>
      <c r="F12" s="94"/>
      <c r="G12" s="88">
        <v>-495802</v>
      </c>
      <c r="H12" s="94">
        <v>227072</v>
      </c>
      <c r="I12" s="88">
        <v>-3202431</v>
      </c>
      <c r="J12" s="94">
        <v>38523084</v>
      </c>
      <c r="K12" s="94">
        <v>63654146</v>
      </c>
      <c r="M12" s="95"/>
    </row>
    <row r="13" spans="1:13" ht="4.3499999999999996" hidden="1" customHeight="1" x14ac:dyDescent="0.25">
      <c r="A13" s="96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6"/>
      <c r="M13" s="96"/>
    </row>
    <row r="14" spans="1:13" ht="22.5" hidden="1" x14ac:dyDescent="0.25">
      <c r="A14" s="98" t="s">
        <v>121</v>
      </c>
      <c r="B14" s="88">
        <v>6127345</v>
      </c>
      <c r="C14" s="99"/>
      <c r="D14" s="99"/>
      <c r="E14" s="99"/>
      <c r="F14" s="99"/>
      <c r="G14" s="99"/>
      <c r="H14" s="99"/>
      <c r="I14" s="99"/>
      <c r="J14" s="99">
        <v>-6127345</v>
      </c>
      <c r="K14" s="99">
        <f>SUM(B14:J14)</f>
        <v>0</v>
      </c>
      <c r="L14" s="96"/>
      <c r="M14" s="96"/>
    </row>
    <row r="15" spans="1:13" ht="5.0999999999999996" hidden="1" customHeight="1" x14ac:dyDescent="0.25">
      <c r="A15" s="96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6"/>
      <c r="M15" s="96"/>
    </row>
    <row r="16" spans="1:13" hidden="1" x14ac:dyDescent="0.25">
      <c r="A16" s="89" t="s">
        <v>119</v>
      </c>
      <c r="B16" s="88"/>
      <c r="C16" s="88"/>
      <c r="D16" s="88">
        <v>680816</v>
      </c>
      <c r="E16" s="88"/>
      <c r="F16" s="88"/>
      <c r="G16" s="88"/>
      <c r="H16" s="88"/>
      <c r="I16" s="88"/>
      <c r="J16" s="88">
        <v>-680816</v>
      </c>
      <c r="K16" s="88">
        <f>SUM(B16:J16)</f>
        <v>0</v>
      </c>
      <c r="M16" s="91"/>
    </row>
    <row r="17" spans="1:13" ht="4.3499999999999996" hidden="1" customHeight="1" x14ac:dyDescent="0.25">
      <c r="B17" s="88"/>
      <c r="C17" s="88"/>
      <c r="D17" s="88"/>
      <c r="E17" s="88"/>
      <c r="F17" s="88"/>
      <c r="G17" s="88"/>
      <c r="H17" s="88"/>
      <c r="I17" s="88"/>
      <c r="J17" s="88"/>
      <c r="K17" s="94"/>
    </row>
    <row r="18" spans="1:13" hidden="1" x14ac:dyDescent="0.25">
      <c r="A18" s="89" t="s">
        <v>122</v>
      </c>
      <c r="B18" s="88"/>
      <c r="C18" s="88"/>
      <c r="D18" s="88"/>
      <c r="E18" s="88"/>
      <c r="F18" s="88"/>
      <c r="G18" s="88"/>
      <c r="H18" s="88"/>
      <c r="I18" s="88"/>
      <c r="J18" s="88">
        <f>476468-29500</f>
        <v>446968</v>
      </c>
      <c r="K18" s="88">
        <f>SUM(B18:J18)</f>
        <v>446968</v>
      </c>
      <c r="M18" s="91"/>
    </row>
    <row r="19" spans="1:13" ht="4.3499999999999996" hidden="1" customHeight="1" x14ac:dyDescent="0.25">
      <c r="B19" s="88"/>
      <c r="C19" s="88"/>
      <c r="D19" s="88"/>
      <c r="E19" s="88"/>
      <c r="F19" s="88"/>
      <c r="G19" s="88"/>
      <c r="H19" s="88"/>
      <c r="I19" s="88"/>
      <c r="J19" s="88"/>
      <c r="K19" s="94"/>
    </row>
    <row r="20" spans="1:13" ht="33.75" hidden="1" x14ac:dyDescent="0.25">
      <c r="A20" s="98" t="s">
        <v>123</v>
      </c>
      <c r="B20" s="88"/>
      <c r="C20" s="88">
        <v>-705016</v>
      </c>
      <c r="D20" s="88"/>
      <c r="E20" s="88"/>
      <c r="F20" s="88"/>
      <c r="G20" s="88"/>
      <c r="H20" s="88"/>
      <c r="I20" s="88"/>
      <c r="J20" s="88"/>
      <c r="K20" s="88">
        <f>SUM(B20:J20)</f>
        <v>-705016</v>
      </c>
      <c r="M20" s="91"/>
    </row>
    <row r="21" spans="1:13" ht="4.3499999999999996" hidden="1" customHeight="1" x14ac:dyDescent="0.25">
      <c r="B21" s="88"/>
      <c r="C21" s="88"/>
      <c r="D21" s="88"/>
      <c r="E21" s="88"/>
      <c r="F21" s="88"/>
      <c r="G21" s="88"/>
      <c r="H21" s="88"/>
      <c r="I21" s="88"/>
      <c r="J21" s="88"/>
      <c r="K21" s="94"/>
    </row>
    <row r="22" spans="1:13" hidden="1" x14ac:dyDescent="0.25">
      <c r="A22" s="89" t="s">
        <v>124</v>
      </c>
      <c r="B22" s="88"/>
      <c r="C22" s="88"/>
      <c r="D22" s="88"/>
      <c r="E22" s="88"/>
      <c r="F22" s="88"/>
      <c r="G22" s="88">
        <v>1849659</v>
      </c>
      <c r="H22" s="88"/>
      <c r="I22" s="88"/>
      <c r="J22" s="88">
        <v>5595545</v>
      </c>
      <c r="K22" s="88">
        <f>SUM(B22:J22)</f>
        <v>7445204</v>
      </c>
      <c r="L22" s="100"/>
      <c r="M22" s="91"/>
    </row>
    <row r="23" spans="1:13" ht="4.3499999999999996" hidden="1" customHeight="1" x14ac:dyDescent="0.25">
      <c r="B23" s="63"/>
      <c r="C23" s="63"/>
      <c r="D23" s="63"/>
      <c r="E23" s="63"/>
      <c r="F23" s="63"/>
      <c r="G23" s="63"/>
      <c r="H23" s="63"/>
      <c r="I23" s="63"/>
      <c r="J23" s="63"/>
      <c r="K23" s="63"/>
    </row>
    <row r="24" spans="1:13" hidden="1" x14ac:dyDescent="0.25">
      <c r="A24" s="89" t="s">
        <v>125</v>
      </c>
      <c r="B24" s="88">
        <f t="shared" ref="B24:K24" si="0">SUM(B12:B22)</f>
        <v>30006697</v>
      </c>
      <c r="C24" s="88">
        <f t="shared" si="0"/>
        <v>920</v>
      </c>
      <c r="D24" s="88">
        <f t="shared" si="0"/>
        <v>4662954</v>
      </c>
      <c r="E24" s="88">
        <f t="shared" si="0"/>
        <v>34797</v>
      </c>
      <c r="F24" s="88"/>
      <c r="G24" s="88">
        <f t="shared" si="0"/>
        <v>1353857</v>
      </c>
      <c r="H24" s="88">
        <f t="shared" si="0"/>
        <v>227072</v>
      </c>
      <c r="I24" s="88">
        <f t="shared" si="0"/>
        <v>-3202431</v>
      </c>
      <c r="J24" s="94">
        <f t="shared" si="0"/>
        <v>37757436</v>
      </c>
      <c r="K24" s="94">
        <f t="shared" si="0"/>
        <v>70841302</v>
      </c>
      <c r="L24" s="101"/>
      <c r="M24" s="95"/>
    </row>
    <row r="25" spans="1:13" ht="4.9000000000000004" hidden="1" customHeight="1" x14ac:dyDescent="0.25">
      <c r="B25" s="102"/>
      <c r="C25" s="102"/>
      <c r="D25" s="102"/>
      <c r="E25" s="102"/>
      <c r="F25" s="102"/>
      <c r="G25" s="102"/>
      <c r="H25" s="102"/>
      <c r="I25" s="102"/>
      <c r="J25" s="102"/>
      <c r="K25" s="102"/>
    </row>
    <row r="26" spans="1:13" hidden="1" x14ac:dyDescent="0.25">
      <c r="A26" s="98" t="s">
        <v>126</v>
      </c>
      <c r="B26" s="88"/>
      <c r="C26" s="88"/>
      <c r="D26" s="88"/>
      <c r="E26" s="88"/>
      <c r="F26" s="88"/>
      <c r="G26" s="88"/>
      <c r="H26" s="88"/>
      <c r="I26" s="88"/>
      <c r="J26" s="88">
        <v>854455</v>
      </c>
      <c r="K26" s="88">
        <f>SUM(B26:J26)</f>
        <v>854455</v>
      </c>
    </row>
    <row r="27" spans="1:13" ht="4.9000000000000004" hidden="1" customHeight="1" x14ac:dyDescent="0.25">
      <c r="B27" s="102"/>
      <c r="C27" s="102"/>
      <c r="D27" s="102"/>
      <c r="E27" s="102"/>
      <c r="F27" s="102"/>
      <c r="G27" s="102"/>
      <c r="H27" s="102"/>
      <c r="I27" s="102"/>
      <c r="J27" s="102"/>
      <c r="K27" s="102"/>
    </row>
    <row r="28" spans="1:13" ht="22.5" hidden="1" x14ac:dyDescent="0.25">
      <c r="A28" s="98" t="s">
        <v>127</v>
      </c>
      <c r="B28" s="88">
        <v>5035990</v>
      </c>
      <c r="C28" s="88"/>
      <c r="D28" s="88"/>
      <c r="E28" s="88"/>
      <c r="F28" s="88"/>
      <c r="G28" s="88"/>
      <c r="H28" s="88"/>
      <c r="I28" s="88"/>
      <c r="J28" s="88">
        <v>-5035990</v>
      </c>
      <c r="K28" s="88">
        <f>SUM(B28:J28)</f>
        <v>0</v>
      </c>
    </row>
    <row r="29" spans="1:13" ht="4.9000000000000004" hidden="1" customHeight="1" x14ac:dyDescent="0.25">
      <c r="B29" s="88"/>
      <c r="C29" s="88"/>
      <c r="D29" s="88"/>
      <c r="E29" s="88"/>
      <c r="F29" s="88"/>
      <c r="G29" s="88"/>
      <c r="H29" s="88"/>
      <c r="I29" s="88"/>
      <c r="J29" s="88"/>
      <c r="K29" s="88"/>
    </row>
    <row r="30" spans="1:13" hidden="1" x14ac:dyDescent="0.25">
      <c r="A30" s="89" t="s">
        <v>119</v>
      </c>
      <c r="B30" s="88"/>
      <c r="C30" s="88"/>
      <c r="D30" s="88">
        <v>559555</v>
      </c>
      <c r="E30" s="88"/>
      <c r="F30" s="88"/>
      <c r="G30" s="88"/>
      <c r="H30" s="88"/>
      <c r="I30" s="88"/>
      <c r="J30" s="88">
        <v>-559555</v>
      </c>
      <c r="K30" s="88">
        <f>SUM(B30:J30)</f>
        <v>0</v>
      </c>
      <c r="M30" s="91"/>
    </row>
    <row r="31" spans="1:13" ht="4.9000000000000004" hidden="1" customHeight="1" x14ac:dyDescent="0.25">
      <c r="B31" s="88"/>
      <c r="C31" s="88"/>
      <c r="D31" s="88"/>
      <c r="E31" s="88"/>
      <c r="F31" s="88"/>
      <c r="G31" s="88"/>
      <c r="H31" s="88"/>
      <c r="I31" s="88"/>
      <c r="J31" s="88"/>
      <c r="K31" s="88"/>
    </row>
    <row r="32" spans="1:13" hidden="1" x14ac:dyDescent="0.25">
      <c r="A32" s="89" t="s">
        <v>128</v>
      </c>
      <c r="B32" s="88"/>
      <c r="C32" s="88"/>
      <c r="D32" s="88"/>
      <c r="E32" s="88"/>
      <c r="F32" s="88"/>
      <c r="G32" s="88"/>
      <c r="H32" s="88"/>
      <c r="I32" s="88"/>
      <c r="J32" s="88">
        <v>251108</v>
      </c>
      <c r="K32" s="88">
        <f>SUM(B32:J32)</f>
        <v>251108</v>
      </c>
    </row>
    <row r="33" spans="1:14" ht="4.9000000000000004" hidden="1" customHeight="1" x14ac:dyDescent="0.25">
      <c r="B33" s="88"/>
      <c r="C33" s="88"/>
      <c r="D33" s="88"/>
      <c r="E33" s="88"/>
      <c r="F33" s="88"/>
      <c r="G33" s="88"/>
      <c r="H33" s="88"/>
      <c r="I33" s="88"/>
      <c r="J33" s="88"/>
      <c r="K33" s="88"/>
    </row>
    <row r="34" spans="1:14" hidden="1" x14ac:dyDescent="0.25">
      <c r="A34" s="89" t="s">
        <v>124</v>
      </c>
      <c r="B34" s="88"/>
      <c r="C34" s="88"/>
      <c r="D34" s="88"/>
      <c r="E34" s="88"/>
      <c r="F34" s="88"/>
      <c r="G34" s="88">
        <v>70086</v>
      </c>
      <c r="H34" s="88"/>
      <c r="I34" s="88"/>
      <c r="J34" s="88">
        <v>9390028</v>
      </c>
      <c r="K34" s="88">
        <f>SUM(B34:J34)</f>
        <v>9460114</v>
      </c>
    </row>
    <row r="35" spans="1:14" ht="4.9000000000000004" hidden="1" customHeight="1" x14ac:dyDescent="0.25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1"/>
      <c r="M35" s="101"/>
      <c r="N35" s="101"/>
    </row>
    <row r="36" spans="1:14" ht="18.600000000000001" customHeight="1" x14ac:dyDescent="0.25">
      <c r="A36" s="89" t="s">
        <v>129</v>
      </c>
      <c r="B36" s="91">
        <v>800</v>
      </c>
      <c r="C36" s="91"/>
      <c r="D36" s="91"/>
      <c r="E36" s="91"/>
      <c r="F36" s="91">
        <v>1378712</v>
      </c>
      <c r="G36" s="91"/>
      <c r="H36" s="91">
        <v>340</v>
      </c>
      <c r="I36" s="91"/>
      <c r="J36" s="103">
        <v>-201038</v>
      </c>
      <c r="K36" s="103">
        <f t="shared" ref="K36:K41" si="1">SUM(B36:J36)</f>
        <v>1178814</v>
      </c>
      <c r="L36" s="47"/>
      <c r="M36" s="95"/>
      <c r="N36" s="101"/>
    </row>
    <row r="37" spans="1:14" x14ac:dyDescent="0.25">
      <c r="A37" s="98" t="s">
        <v>126</v>
      </c>
      <c r="B37" s="91"/>
      <c r="C37" s="91"/>
      <c r="D37" s="91"/>
      <c r="E37" s="91"/>
      <c r="F37" s="91"/>
      <c r="G37" s="91"/>
      <c r="H37" s="91"/>
      <c r="I37" s="91"/>
      <c r="J37" s="91"/>
      <c r="K37" s="91">
        <f t="shared" si="1"/>
        <v>0</v>
      </c>
    </row>
    <row r="38" spans="1:14" ht="22.5" x14ac:dyDescent="0.25">
      <c r="A38" s="98" t="s">
        <v>130</v>
      </c>
      <c r="B38" s="91"/>
      <c r="C38" s="91"/>
      <c r="D38" s="91"/>
      <c r="E38" s="91"/>
      <c r="F38" s="91"/>
      <c r="G38" s="104"/>
      <c r="H38" s="91"/>
      <c r="I38" s="91"/>
      <c r="J38" s="91"/>
      <c r="K38" s="91">
        <f t="shared" si="1"/>
        <v>0</v>
      </c>
    </row>
    <row r="39" spans="1:14" x14ac:dyDescent="0.25">
      <c r="A39" s="89" t="s">
        <v>119</v>
      </c>
      <c r="B39" s="91"/>
      <c r="C39" s="91"/>
      <c r="D39" s="91"/>
      <c r="E39" s="91"/>
      <c r="F39" s="91"/>
      <c r="G39" s="91"/>
      <c r="H39" s="91"/>
      <c r="I39" s="91"/>
      <c r="J39" s="91"/>
      <c r="K39" s="91">
        <f t="shared" si="1"/>
        <v>0</v>
      </c>
    </row>
    <row r="40" spans="1:14" x14ac:dyDescent="0.25">
      <c r="A40" s="89" t="s">
        <v>137</v>
      </c>
      <c r="B40" s="91"/>
      <c r="C40" s="91"/>
      <c r="D40" s="91"/>
      <c r="E40" s="91"/>
      <c r="F40" s="91"/>
      <c r="G40" s="91"/>
      <c r="H40" s="91"/>
      <c r="I40" s="91"/>
      <c r="J40" s="91"/>
      <c r="K40" s="91">
        <f t="shared" si="1"/>
        <v>0</v>
      </c>
    </row>
    <row r="41" spans="1:14" x14ac:dyDescent="0.25">
      <c r="A41" s="89" t="s">
        <v>124</v>
      </c>
      <c r="B41" s="91"/>
      <c r="C41" s="91"/>
      <c r="D41" s="91"/>
      <c r="E41" s="91"/>
      <c r="F41" s="91"/>
      <c r="G41" s="91"/>
      <c r="H41" s="91"/>
      <c r="I41" s="91"/>
      <c r="J41" s="91">
        <v>-40586</v>
      </c>
      <c r="K41" s="91">
        <f t="shared" si="1"/>
        <v>-40586</v>
      </c>
    </row>
    <row r="42" spans="1:14" ht="15.75" thickBot="1" x14ac:dyDescent="0.3">
      <c r="A42" s="89" t="s">
        <v>131</v>
      </c>
      <c r="B42" s="105">
        <f t="shared" ref="B42:K42" si="2">SUM(B36:B41)</f>
        <v>800</v>
      </c>
      <c r="C42" s="105">
        <f t="shared" si="2"/>
        <v>0</v>
      </c>
      <c r="D42" s="105">
        <f t="shared" si="2"/>
        <v>0</v>
      </c>
      <c r="E42" s="105">
        <f t="shared" si="2"/>
        <v>0</v>
      </c>
      <c r="F42" s="105">
        <f t="shared" si="2"/>
        <v>1378712</v>
      </c>
      <c r="G42" s="105">
        <f t="shared" si="2"/>
        <v>0</v>
      </c>
      <c r="H42" s="105">
        <f t="shared" si="2"/>
        <v>340</v>
      </c>
      <c r="I42" s="105">
        <f t="shared" si="2"/>
        <v>0</v>
      </c>
      <c r="J42" s="105">
        <f t="shared" si="2"/>
        <v>-241624</v>
      </c>
      <c r="K42" s="105">
        <f t="shared" si="2"/>
        <v>1138228</v>
      </c>
    </row>
    <row r="43" spans="1:14" ht="15.75" thickTop="1" x14ac:dyDescent="0.25">
      <c r="B43" s="89"/>
      <c r="C43" s="89"/>
      <c r="D43" s="89"/>
      <c r="E43" s="89"/>
      <c r="F43" s="89"/>
      <c r="G43" s="89"/>
      <c r="H43" s="89"/>
      <c r="I43" s="89"/>
      <c r="J43" s="89"/>
      <c r="K43" s="89"/>
    </row>
    <row r="44" spans="1:14" x14ac:dyDescent="0.25">
      <c r="B44" s="106"/>
      <c r="K44" s="107"/>
    </row>
    <row r="45" spans="1:14" x14ac:dyDescent="0.25">
      <c r="C45" s="106"/>
    </row>
    <row r="47" spans="1:14" x14ac:dyDescent="0.25">
      <c r="C47" s="63"/>
      <c r="D47" s="106"/>
    </row>
    <row r="48" spans="1:14" x14ac:dyDescent="0.25">
      <c r="C48" s="63"/>
      <c r="D48" s="106"/>
    </row>
    <row r="49" spans="3:7" x14ac:dyDescent="0.25">
      <c r="C49" s="106"/>
      <c r="D49" s="106"/>
      <c r="E49" s="108"/>
      <c r="F49" s="108"/>
      <c r="G49" s="106"/>
    </row>
    <row r="50" spans="3:7" x14ac:dyDescent="0.25">
      <c r="D50" s="108"/>
      <c r="E50" s="108"/>
      <c r="F50" s="108"/>
      <c r="G50" s="106"/>
    </row>
    <row r="51" spans="3:7" x14ac:dyDescent="0.25">
      <c r="D51" s="108"/>
      <c r="E51" s="108"/>
      <c r="F51" s="108"/>
      <c r="G51" s="106"/>
    </row>
    <row r="52" spans="3:7" x14ac:dyDescent="0.25">
      <c r="D52" s="10"/>
    </row>
    <row r="53" spans="3:7" x14ac:dyDescent="0.25">
      <c r="D53" s="10"/>
    </row>
    <row r="54" spans="3:7" x14ac:dyDescent="0.25">
      <c r="D54" s="10"/>
    </row>
    <row r="55" spans="3:7" x14ac:dyDescent="0.25">
      <c r="D55" s="10"/>
    </row>
    <row r="56" spans="3:7" x14ac:dyDescent="0.25">
      <c r="D56" s="108"/>
      <c r="E56" s="106"/>
      <c r="F56" s="106"/>
    </row>
  </sheetData>
  <mergeCells count="2">
    <mergeCell ref="H1:J1"/>
    <mergeCell ref="B2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J75"/>
  <sheetViews>
    <sheetView topLeftCell="A25" zoomScale="64" zoomScaleNormal="64" workbookViewId="0">
      <selection activeCell="E25" sqref="E25"/>
    </sheetView>
  </sheetViews>
  <sheetFormatPr defaultColWidth="11.42578125" defaultRowHeight="15" x14ac:dyDescent="0.25"/>
  <cols>
    <col min="1" max="1" width="14.28515625" customWidth="1"/>
    <col min="2" max="2" width="56" customWidth="1"/>
    <col min="3" max="3" width="14.5703125" hidden="1" customWidth="1"/>
    <col min="4" max="4" width="2" hidden="1" customWidth="1"/>
    <col min="5" max="5" width="12.42578125" style="1" bestFit="1" customWidth="1"/>
    <col min="6" max="6" width="12.42578125" style="1" hidden="1" customWidth="1"/>
    <col min="7" max="8" width="12.42578125" style="1" bestFit="1" customWidth="1"/>
    <col min="9" max="9" width="11.42578125" style="1"/>
  </cols>
  <sheetData>
    <row r="6" spans="1:8" customFormat="1" x14ac:dyDescent="0.25">
      <c r="E6" s="1"/>
      <c r="F6" s="1"/>
      <c r="G6" s="1"/>
      <c r="H6" s="1"/>
    </row>
    <row r="7" spans="1:8" customFormat="1" x14ac:dyDescent="0.25">
      <c r="E7" s="1"/>
      <c r="F7" s="1"/>
      <c r="G7" s="1"/>
      <c r="H7" s="1"/>
    </row>
    <row r="8" spans="1:8" customFormat="1" x14ac:dyDescent="0.25">
      <c r="E8" s="1"/>
      <c r="F8" s="1"/>
      <c r="G8" s="1"/>
      <c r="H8" s="1"/>
    </row>
    <row r="9" spans="1:8" customFormat="1" ht="26.25" x14ac:dyDescent="0.4">
      <c r="B9" s="116" t="s">
        <v>6</v>
      </c>
      <c r="C9" s="116"/>
      <c r="D9" s="116"/>
      <c r="E9" s="116"/>
      <c r="F9" s="116"/>
      <c r="G9" s="116"/>
      <c r="H9" s="116"/>
    </row>
    <row r="10" spans="1:8" customFormat="1" ht="26.25" x14ac:dyDescent="0.4">
      <c r="B10" s="116" t="s">
        <v>35</v>
      </c>
      <c r="C10" s="116"/>
      <c r="D10" s="116"/>
      <c r="E10" s="116"/>
      <c r="F10" s="116"/>
      <c r="G10" s="116"/>
      <c r="H10" s="116"/>
    </row>
    <row r="11" spans="1:8" customFormat="1" ht="20.25" x14ac:dyDescent="0.3">
      <c r="B11" s="117" t="s">
        <v>38</v>
      </c>
      <c r="C11" s="117"/>
      <c r="D11" s="117"/>
      <c r="E11" s="117"/>
      <c r="F11" s="117"/>
      <c r="G11" s="117"/>
      <c r="H11" s="117"/>
    </row>
    <row r="12" spans="1:8" customFormat="1" ht="20.25" x14ac:dyDescent="0.3">
      <c r="B12" s="22"/>
      <c r="C12" s="22"/>
      <c r="D12" s="22"/>
      <c r="E12" s="22"/>
      <c r="F12" s="22"/>
      <c r="G12" s="22"/>
      <c r="H12" s="22"/>
    </row>
    <row r="13" spans="1:8" customFormat="1" x14ac:dyDescent="0.25">
      <c r="E13" s="1"/>
      <c r="F13" s="1"/>
      <c r="G13" s="1"/>
      <c r="H13" s="1"/>
    </row>
    <row r="14" spans="1:8" customFormat="1" x14ac:dyDescent="0.25">
      <c r="A14" s="10"/>
      <c r="B14" s="10" t="s">
        <v>34</v>
      </c>
      <c r="C14" s="18" t="s">
        <v>33</v>
      </c>
      <c r="D14" s="10">
        <v>1</v>
      </c>
      <c r="E14" s="17"/>
      <c r="F14" s="17"/>
      <c r="G14" s="17"/>
      <c r="H14" s="12">
        <f>SUM(G16:G19)</f>
        <v>1138227.55</v>
      </c>
    </row>
    <row r="15" spans="1:8" customFormat="1" x14ac:dyDescent="0.25">
      <c r="A15" s="10"/>
      <c r="B15" s="10"/>
      <c r="C15" s="18"/>
      <c r="D15" s="10"/>
      <c r="E15" s="17"/>
      <c r="F15" s="17"/>
      <c r="G15" s="17"/>
      <c r="H15" s="17"/>
    </row>
    <row r="16" spans="1:8" customFormat="1" x14ac:dyDescent="0.25">
      <c r="A16" s="10"/>
      <c r="B16" s="10" t="s">
        <v>32</v>
      </c>
      <c r="C16" s="18" t="s">
        <v>31</v>
      </c>
      <c r="D16" s="10">
        <v>3</v>
      </c>
      <c r="E16" s="17"/>
      <c r="F16" s="17"/>
      <c r="G16" s="11">
        <f>SUM(E19:E22)</f>
        <v>1138227.55</v>
      </c>
      <c r="H16" s="17"/>
    </row>
    <row r="17" spans="1:9" x14ac:dyDescent="0.25">
      <c r="A17" s="10"/>
      <c r="B17" s="10"/>
      <c r="C17" s="18"/>
      <c r="D17" s="10"/>
      <c r="E17" s="17"/>
      <c r="F17" s="17"/>
      <c r="G17" s="12"/>
      <c r="H17" s="17"/>
      <c r="I17"/>
    </row>
    <row r="18" spans="1:9" x14ac:dyDescent="0.25">
      <c r="A18" s="10"/>
      <c r="B18" s="10" t="s">
        <v>30</v>
      </c>
      <c r="C18" s="18" t="s">
        <v>29</v>
      </c>
      <c r="D18" s="10">
        <v>5</v>
      </c>
      <c r="E18" s="17"/>
      <c r="F18" s="17">
        <v>152350</v>
      </c>
      <c r="G18" s="17"/>
      <c r="H18" s="17"/>
      <c r="I18"/>
    </row>
    <row r="19" spans="1:9" x14ac:dyDescent="0.25">
      <c r="B19" t="s">
        <v>28</v>
      </c>
      <c r="C19" s="16" t="s">
        <v>27</v>
      </c>
      <c r="D19">
        <v>6</v>
      </c>
      <c r="E19" s="1">
        <v>1140.17</v>
      </c>
      <c r="I19"/>
    </row>
    <row r="20" spans="1:9" x14ac:dyDescent="0.25">
      <c r="B20" s="9" t="s">
        <v>26</v>
      </c>
      <c r="C20" s="16"/>
      <c r="E20" s="1">
        <v>566989.63</v>
      </c>
      <c r="I20"/>
    </row>
    <row r="21" spans="1:9" x14ac:dyDescent="0.25">
      <c r="B21" s="9" t="s">
        <v>25</v>
      </c>
      <c r="C21" s="16"/>
      <c r="E21" s="1">
        <v>811722.02</v>
      </c>
      <c r="I21"/>
    </row>
    <row r="22" spans="1:9" x14ac:dyDescent="0.25">
      <c r="B22" s="9" t="s">
        <v>24</v>
      </c>
      <c r="C22" s="16"/>
      <c r="E22" s="1">
        <v>-241624.27</v>
      </c>
      <c r="I22"/>
    </row>
    <row r="23" spans="1:9" x14ac:dyDescent="0.25">
      <c r="B23" s="9"/>
      <c r="C23" s="16"/>
      <c r="I23"/>
    </row>
    <row r="24" spans="1:9" x14ac:dyDescent="0.25">
      <c r="B24" s="9"/>
      <c r="C24" s="16"/>
      <c r="I24"/>
    </row>
    <row r="25" spans="1:9" x14ac:dyDescent="0.25">
      <c r="B25" s="10"/>
      <c r="C25" s="16"/>
      <c r="I25"/>
    </row>
    <row r="26" spans="1:9" ht="15.75" thickBot="1" x14ac:dyDescent="0.3">
      <c r="B26" s="10" t="s">
        <v>23</v>
      </c>
      <c r="C26" s="18"/>
      <c r="D26" s="10"/>
      <c r="E26" s="17"/>
      <c r="F26" s="17"/>
      <c r="G26" s="17"/>
      <c r="H26" s="20">
        <f>SUM(G16:G19)</f>
        <v>1138227.55</v>
      </c>
      <c r="I26"/>
    </row>
    <row r="27" spans="1:9" ht="15.75" thickTop="1" x14ac:dyDescent="0.25">
      <c r="C27" s="16"/>
      <c r="I27"/>
    </row>
    <row r="28" spans="1:9" x14ac:dyDescent="0.25">
      <c r="C28" s="16"/>
      <c r="I28"/>
    </row>
    <row r="29" spans="1:9" x14ac:dyDescent="0.25">
      <c r="C29" s="16"/>
      <c r="I29"/>
    </row>
    <row r="30" spans="1:9" x14ac:dyDescent="0.25">
      <c r="A30" s="10"/>
      <c r="B30" s="10" t="s">
        <v>22</v>
      </c>
      <c r="C30" s="18" t="s">
        <v>21</v>
      </c>
      <c r="D30" s="10">
        <v>1</v>
      </c>
      <c r="E30" s="17"/>
      <c r="F30" s="17"/>
      <c r="G30" s="17"/>
      <c r="H30" s="12">
        <f>SUM(G32:G37)</f>
        <v>1138227.8999999999</v>
      </c>
      <c r="I30"/>
    </row>
    <row r="31" spans="1:9" x14ac:dyDescent="0.25">
      <c r="A31" s="10"/>
      <c r="B31" s="10"/>
      <c r="C31" s="18"/>
      <c r="D31" s="10"/>
      <c r="E31" s="17"/>
      <c r="F31" s="17"/>
      <c r="G31" s="17"/>
      <c r="H31" s="12"/>
      <c r="I31"/>
    </row>
    <row r="32" spans="1:9" x14ac:dyDescent="0.25">
      <c r="A32" s="10"/>
      <c r="B32" s="10" t="s">
        <v>20</v>
      </c>
      <c r="C32" s="18" t="s">
        <v>19</v>
      </c>
      <c r="D32" s="10">
        <v>3</v>
      </c>
      <c r="E32" s="17"/>
      <c r="F32" s="17"/>
      <c r="G32" s="17">
        <f>+E33</f>
        <v>800</v>
      </c>
      <c r="H32" s="17"/>
    </row>
    <row r="33" spans="2:10" x14ac:dyDescent="0.25">
      <c r="B33" t="s">
        <v>18</v>
      </c>
      <c r="C33" s="16" t="s">
        <v>17</v>
      </c>
      <c r="D33">
        <v>6</v>
      </c>
      <c r="E33" s="1">
        <v>800</v>
      </c>
    </row>
    <row r="34" spans="2:10" x14ac:dyDescent="0.25">
      <c r="C34" s="16"/>
    </row>
    <row r="35" spans="2:10" x14ac:dyDescent="0.25">
      <c r="B35" s="10" t="s">
        <v>16</v>
      </c>
      <c r="C35" s="16"/>
      <c r="G35" s="11">
        <f>+E36+E37+E38+E39</f>
        <v>1137427.8999999999</v>
      </c>
    </row>
    <row r="36" spans="2:10" x14ac:dyDescent="0.25">
      <c r="B36" t="s">
        <v>15</v>
      </c>
      <c r="C36" s="16" t="s">
        <v>14</v>
      </c>
      <c r="D36">
        <v>6</v>
      </c>
      <c r="E36" s="1">
        <v>340.17</v>
      </c>
    </row>
    <row r="37" spans="2:10" x14ac:dyDescent="0.25">
      <c r="B37" s="21" t="s">
        <v>13</v>
      </c>
      <c r="C37" s="16"/>
      <c r="E37" s="1">
        <v>1378712</v>
      </c>
    </row>
    <row r="38" spans="2:10" x14ac:dyDescent="0.25">
      <c r="B38" s="21" t="s">
        <v>36</v>
      </c>
      <c r="C38" s="16"/>
      <c r="E38" s="1">
        <v>-201038.17</v>
      </c>
    </row>
    <row r="39" spans="2:10" x14ac:dyDescent="0.25">
      <c r="B39" s="21" t="s">
        <v>37</v>
      </c>
      <c r="C39" s="16"/>
      <c r="E39" s="1">
        <f>-E62</f>
        <v>-40586.1</v>
      </c>
    </row>
    <row r="40" spans="2:10" x14ac:dyDescent="0.25">
      <c r="B40" s="10" t="s">
        <v>12</v>
      </c>
      <c r="C40" s="16"/>
    </row>
    <row r="41" spans="2:10" ht="15.75" thickBot="1" x14ac:dyDescent="0.3">
      <c r="B41" s="10" t="s">
        <v>11</v>
      </c>
      <c r="C41" s="16"/>
      <c r="E41" s="17"/>
      <c r="F41" s="17"/>
      <c r="G41" s="17"/>
      <c r="H41" s="20">
        <f>+H30</f>
        <v>1138227.8999999999</v>
      </c>
      <c r="J41" s="1"/>
    </row>
    <row r="42" spans="2:10" ht="15.75" thickTop="1" x14ac:dyDescent="0.25">
      <c r="C42" s="16"/>
    </row>
    <row r="43" spans="2:10" x14ac:dyDescent="0.25">
      <c r="C43" s="16"/>
    </row>
    <row r="44" spans="2:10" x14ac:dyDescent="0.25">
      <c r="C44" s="16"/>
    </row>
    <row r="47" spans="2:10" x14ac:dyDescent="0.25">
      <c r="C47" s="16"/>
    </row>
    <row r="48" spans="2:10" x14ac:dyDescent="0.25">
      <c r="C48" s="16"/>
    </row>
    <row r="49" spans="1:9" x14ac:dyDescent="0.25">
      <c r="C49" s="16"/>
    </row>
    <row r="50" spans="1:9" x14ac:dyDescent="0.25">
      <c r="C50" s="16"/>
    </row>
    <row r="51" spans="1:9" x14ac:dyDescent="0.25">
      <c r="B51" s="19" t="s">
        <v>10</v>
      </c>
      <c r="C51" s="18"/>
      <c r="D51" s="10"/>
      <c r="E51" s="17"/>
      <c r="F51" s="17"/>
      <c r="G51" s="118" t="s">
        <v>9</v>
      </c>
      <c r="H51" s="118"/>
    </row>
    <row r="52" spans="1:9" x14ac:dyDescent="0.25">
      <c r="B52" s="19" t="s">
        <v>8</v>
      </c>
      <c r="C52" s="18"/>
      <c r="D52" s="10"/>
      <c r="E52" s="17"/>
      <c r="F52" s="17"/>
      <c r="G52" s="118" t="s">
        <v>7</v>
      </c>
      <c r="H52" s="118"/>
    </row>
    <row r="53" spans="1:9" x14ac:dyDescent="0.25">
      <c r="C53" s="16"/>
    </row>
    <row r="54" spans="1:9" x14ac:dyDescent="0.25">
      <c r="C54" s="16"/>
    </row>
    <row r="55" spans="1:9" x14ac:dyDescent="0.25">
      <c r="C55" s="16"/>
    </row>
    <row r="56" spans="1:9" s="2" customFormat="1" ht="26.25" x14ac:dyDescent="0.4">
      <c r="B56" s="116" t="s">
        <v>6</v>
      </c>
      <c r="C56" s="116"/>
      <c r="D56" s="116"/>
      <c r="E56" s="116"/>
      <c r="F56" s="116"/>
      <c r="G56" s="116"/>
      <c r="H56" s="116"/>
      <c r="I56" s="3"/>
    </row>
    <row r="57" spans="1:9" s="2" customFormat="1" ht="26.25" x14ac:dyDescent="0.4">
      <c r="B57" s="116" t="s">
        <v>5</v>
      </c>
      <c r="C57" s="116"/>
      <c r="D57" s="116"/>
      <c r="E57" s="116"/>
      <c r="F57" s="116"/>
      <c r="G57" s="116"/>
      <c r="H57" s="116"/>
      <c r="I57" s="3"/>
    </row>
    <row r="58" spans="1:9" s="2" customFormat="1" ht="20.25" x14ac:dyDescent="0.3">
      <c r="B58" s="117" t="s">
        <v>38</v>
      </c>
      <c r="C58" s="117"/>
      <c r="D58" s="117"/>
      <c r="E58" s="117"/>
      <c r="F58" s="117"/>
      <c r="G58" s="117"/>
      <c r="H58" s="117"/>
      <c r="I58" s="3"/>
    </row>
    <row r="59" spans="1:9" s="2" customFormat="1" x14ac:dyDescent="0.25">
      <c r="A59" s="15"/>
      <c r="B59" s="15"/>
      <c r="C59" s="15"/>
      <c r="D59" s="14"/>
      <c r="E59" s="14"/>
      <c r="F59" s="14"/>
      <c r="G59" s="14"/>
      <c r="H59" s="3"/>
      <c r="I59" s="3"/>
    </row>
    <row r="60" spans="1:9" s="2" customFormat="1" x14ac:dyDescent="0.25">
      <c r="B60" s="10" t="s">
        <v>4</v>
      </c>
      <c r="C60" s="9"/>
      <c r="D60" s="8"/>
      <c r="E60" s="8"/>
      <c r="F60" s="8"/>
      <c r="G60" s="8"/>
      <c r="H60" s="12"/>
      <c r="I60" s="3"/>
    </row>
    <row r="61" spans="1:9" s="2" customFormat="1" x14ac:dyDescent="0.25">
      <c r="B61" s="9"/>
      <c r="C61" s="9"/>
      <c r="D61" s="8"/>
      <c r="E61" s="8"/>
      <c r="F61" s="8"/>
      <c r="G61" s="8"/>
      <c r="H61" s="12"/>
      <c r="I61" s="3"/>
    </row>
    <row r="62" spans="1:9" s="2" customFormat="1" x14ac:dyDescent="0.25">
      <c r="B62" s="9" t="s">
        <v>3</v>
      </c>
      <c r="C62" s="13">
        <v>167553.57</v>
      </c>
      <c r="D62" s="4">
        <f>74583.84+70281.46-6389.22</f>
        <v>138476.07999999999</v>
      </c>
      <c r="E62" s="8">
        <v>40586.1</v>
      </c>
      <c r="F62" s="8"/>
      <c r="G62" s="8"/>
      <c r="H62" s="12"/>
      <c r="I62" s="3"/>
    </row>
    <row r="63" spans="1:9" s="2" customFormat="1" x14ac:dyDescent="0.25">
      <c r="B63" s="9"/>
      <c r="C63" s="9" t="s">
        <v>2</v>
      </c>
      <c r="D63" s="4">
        <f>+SUM('[1]Myores T'!AD26+'[1]Myores T'!AG26+'[1]Myores T'!AK26+'[1]Myores T'!AN26+[1]Hoja1!D25)+'[1]mayor TD'!D85</f>
        <v>0</v>
      </c>
      <c r="E63" s="8"/>
      <c r="F63" s="8"/>
      <c r="G63" s="8"/>
      <c r="H63" s="4"/>
      <c r="I63" s="3"/>
    </row>
    <row r="64" spans="1:9" s="2" customFormat="1" x14ac:dyDescent="0.25">
      <c r="B64" s="10" t="s">
        <v>1</v>
      </c>
      <c r="C64" s="9"/>
      <c r="D64" s="8"/>
      <c r="E64" s="8"/>
      <c r="F64" s="8"/>
      <c r="G64" s="11">
        <f>+E62</f>
        <v>40586.1</v>
      </c>
      <c r="H64" s="4"/>
      <c r="I64" s="3"/>
    </row>
    <row r="65" spans="1:9" s="2" customFormat="1" x14ac:dyDescent="0.25">
      <c r="B65" s="9"/>
      <c r="C65" s="9"/>
      <c r="D65" s="8"/>
      <c r="E65" s="8"/>
      <c r="F65" s="8"/>
      <c r="G65" s="8"/>
      <c r="H65" s="6"/>
      <c r="I65" s="3"/>
    </row>
    <row r="66" spans="1:9" s="2" customFormat="1" ht="15.75" thickBot="1" x14ac:dyDescent="0.3">
      <c r="B66" s="10" t="s">
        <v>0</v>
      </c>
      <c r="C66" s="9"/>
      <c r="D66" s="8"/>
      <c r="E66" s="8"/>
      <c r="F66" s="8"/>
      <c r="G66" s="7">
        <f>+G64</f>
        <v>40586.1</v>
      </c>
      <c r="H66" s="6"/>
      <c r="I66" s="3"/>
    </row>
    <row r="67" spans="1:9" s="2" customFormat="1" ht="15.75" thickTop="1" x14ac:dyDescent="0.25">
      <c r="A67" s="5"/>
      <c r="B67" s="5"/>
      <c r="C67" s="5"/>
      <c r="D67" s="5"/>
      <c r="E67" s="4"/>
      <c r="F67" s="4"/>
      <c r="G67" s="4"/>
      <c r="H67" s="4"/>
      <c r="I67" s="3"/>
    </row>
    <row r="68" spans="1:9" s="2" customFormat="1" x14ac:dyDescent="0.25">
      <c r="A68" s="5"/>
      <c r="B68" s="5"/>
      <c r="C68" s="5"/>
      <c r="D68" s="5"/>
      <c r="E68" s="4"/>
      <c r="F68" s="4"/>
      <c r="G68" s="4"/>
      <c r="H68" s="4"/>
      <c r="I68" s="3"/>
    </row>
    <row r="69" spans="1:9" s="2" customFormat="1" x14ac:dyDescent="0.25">
      <c r="A69" s="5"/>
      <c r="B69" s="5"/>
      <c r="C69" s="5"/>
      <c r="D69" s="5"/>
      <c r="E69" s="4"/>
      <c r="F69" s="4"/>
      <c r="G69" s="4"/>
      <c r="H69" s="4"/>
      <c r="I69" s="3"/>
    </row>
    <row r="70" spans="1:9" s="2" customFormat="1" x14ac:dyDescent="0.25">
      <c r="E70" s="3"/>
      <c r="F70" s="3"/>
      <c r="G70" s="3"/>
      <c r="H70" s="3"/>
      <c r="I70" s="3"/>
    </row>
    <row r="71" spans="1:9" s="2" customFormat="1" x14ac:dyDescent="0.25">
      <c r="E71" s="3"/>
      <c r="F71" s="3"/>
      <c r="G71" s="3"/>
      <c r="H71" s="3"/>
      <c r="I71" s="3"/>
    </row>
    <row r="72" spans="1:9" s="2" customFormat="1" x14ac:dyDescent="0.25">
      <c r="E72" s="3"/>
      <c r="F72" s="3"/>
      <c r="G72" s="3"/>
      <c r="H72" s="3"/>
      <c r="I72" s="3"/>
    </row>
    <row r="73" spans="1:9" s="2" customFormat="1" x14ac:dyDescent="0.25">
      <c r="E73" s="3"/>
      <c r="F73" s="3"/>
      <c r="G73" s="3"/>
      <c r="H73" s="3"/>
      <c r="I73" s="3"/>
    </row>
    <row r="74" spans="1:9" s="2" customFormat="1" x14ac:dyDescent="0.25">
      <c r="E74" s="3"/>
      <c r="F74" s="3"/>
      <c r="G74" s="3"/>
      <c r="H74" s="3"/>
      <c r="I74" s="3"/>
    </row>
    <row r="75" spans="1:9" s="2" customFormat="1" x14ac:dyDescent="0.25">
      <c r="E75" s="3"/>
      <c r="F75" s="3"/>
      <c r="G75" s="3"/>
      <c r="H75" s="3"/>
      <c r="I75" s="3"/>
    </row>
  </sheetData>
  <mergeCells count="8">
    <mergeCell ref="B57:H57"/>
    <mergeCell ref="B58:H58"/>
    <mergeCell ref="B9:H9"/>
    <mergeCell ref="B10:H10"/>
    <mergeCell ref="B11:H11"/>
    <mergeCell ref="G51:H51"/>
    <mergeCell ref="G52:H52"/>
    <mergeCell ref="B56:H56"/>
  </mergeCells>
  <pageMargins left="0.7" right="0.7" top="0.75" bottom="0.75" header="0.3" footer="0.3"/>
  <pageSetup scale="76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6417-F96A-4C49-A9AB-CA66246E33CC}">
  <dimension ref="A6:J66"/>
  <sheetViews>
    <sheetView topLeftCell="A15" zoomScale="75" zoomScaleNormal="75" workbookViewId="0">
      <selection activeCell="O15" sqref="O15"/>
    </sheetView>
  </sheetViews>
  <sheetFormatPr defaultColWidth="11.42578125" defaultRowHeight="15" x14ac:dyDescent="0.25"/>
  <cols>
    <col min="1" max="1" width="14.28515625" customWidth="1"/>
    <col min="2" max="2" width="56" customWidth="1"/>
    <col min="3" max="3" width="14.5703125" hidden="1" customWidth="1"/>
    <col min="4" max="4" width="2" hidden="1" customWidth="1"/>
    <col min="5" max="5" width="12.42578125" style="1" bestFit="1" customWidth="1"/>
    <col min="6" max="6" width="12.42578125" style="1" hidden="1" customWidth="1"/>
    <col min="7" max="8" width="12.42578125" style="1" bestFit="1" customWidth="1"/>
    <col min="9" max="9" width="11.42578125" style="1"/>
  </cols>
  <sheetData>
    <row r="6" spans="1:8" customFormat="1" x14ac:dyDescent="0.25">
      <c r="E6" s="1"/>
      <c r="F6" s="1"/>
      <c r="G6" s="1"/>
      <c r="H6" s="1"/>
    </row>
    <row r="7" spans="1:8" customFormat="1" x14ac:dyDescent="0.25">
      <c r="E7" s="1"/>
      <c r="F7" s="1"/>
      <c r="G7" s="1"/>
      <c r="H7" s="1"/>
    </row>
    <row r="8" spans="1:8" customFormat="1" x14ac:dyDescent="0.25">
      <c r="E8" s="1"/>
      <c r="F8" s="1"/>
      <c r="G8" s="1"/>
      <c r="H8" s="1"/>
    </row>
    <row r="9" spans="1:8" customFormat="1" ht="26.25" x14ac:dyDescent="0.4">
      <c r="B9" s="119" t="s">
        <v>6</v>
      </c>
      <c r="C9" s="119"/>
      <c r="D9" s="119"/>
      <c r="E9" s="119"/>
      <c r="F9" s="119"/>
      <c r="G9" s="119"/>
      <c r="H9" s="119"/>
    </row>
    <row r="10" spans="1:8" customFormat="1" ht="26.25" x14ac:dyDescent="0.4">
      <c r="B10" s="119" t="s">
        <v>35</v>
      </c>
      <c r="C10" s="119"/>
      <c r="D10" s="119"/>
      <c r="E10" s="119"/>
      <c r="F10" s="119"/>
      <c r="G10" s="119"/>
      <c r="H10" s="119"/>
    </row>
    <row r="11" spans="1:8" customFormat="1" ht="20.25" x14ac:dyDescent="0.3">
      <c r="B11" s="120" t="s">
        <v>132</v>
      </c>
      <c r="C11" s="120"/>
      <c r="D11" s="120"/>
      <c r="E11" s="120"/>
      <c r="F11" s="120"/>
      <c r="G11" s="120"/>
      <c r="H11" s="120"/>
    </row>
    <row r="12" spans="1:8" customFormat="1" ht="20.25" x14ac:dyDescent="0.3">
      <c r="B12" s="109"/>
      <c r="C12" s="109"/>
      <c r="D12" s="109"/>
      <c r="E12" s="109"/>
      <c r="F12" s="109"/>
      <c r="G12" s="109"/>
      <c r="H12" s="109"/>
    </row>
    <row r="13" spans="1:8" customFormat="1" x14ac:dyDescent="0.25">
      <c r="E13" s="1"/>
      <c r="F13" s="1"/>
      <c r="G13" s="1"/>
      <c r="H13" s="1"/>
    </row>
    <row r="14" spans="1:8" customFormat="1" x14ac:dyDescent="0.25">
      <c r="A14" s="10"/>
      <c r="B14" s="10" t="s">
        <v>34</v>
      </c>
      <c r="C14" s="18" t="s">
        <v>33</v>
      </c>
      <c r="D14" s="10">
        <v>1</v>
      </c>
      <c r="E14" s="17"/>
      <c r="F14" s="17"/>
      <c r="G14" s="17"/>
      <c r="H14" s="17">
        <f>SUM(G16:G19)</f>
        <v>1178813.8</v>
      </c>
    </row>
    <row r="15" spans="1:8" customFormat="1" x14ac:dyDescent="0.25">
      <c r="A15" s="10"/>
      <c r="B15" s="10"/>
      <c r="C15" s="18"/>
      <c r="D15" s="10"/>
      <c r="E15" s="17"/>
      <c r="F15" s="17"/>
      <c r="G15" s="17"/>
      <c r="H15" s="17"/>
    </row>
    <row r="16" spans="1:8" customFormat="1" x14ac:dyDescent="0.25">
      <c r="A16" s="10"/>
      <c r="B16" s="10" t="s">
        <v>32</v>
      </c>
      <c r="C16" s="18" t="s">
        <v>31</v>
      </c>
      <c r="D16" s="10">
        <v>3</v>
      </c>
      <c r="E16" s="17"/>
      <c r="F16" s="17"/>
      <c r="G16" s="11">
        <f>SUM(E19:E22)</f>
        <v>1178813.8</v>
      </c>
      <c r="H16" s="17"/>
    </row>
    <row r="17" spans="1:9" x14ac:dyDescent="0.25">
      <c r="A17" s="10"/>
      <c r="B17" s="10"/>
      <c r="C17" s="18"/>
      <c r="D17" s="10"/>
      <c r="E17" s="17"/>
      <c r="F17" s="17"/>
      <c r="G17" s="17"/>
      <c r="H17" s="17"/>
      <c r="I17"/>
    </row>
    <row r="18" spans="1:9" x14ac:dyDescent="0.25">
      <c r="A18" s="10"/>
      <c r="B18" s="10" t="s">
        <v>30</v>
      </c>
      <c r="C18" s="18" t="s">
        <v>29</v>
      </c>
      <c r="D18" s="10">
        <v>5</v>
      </c>
      <c r="E18" s="17"/>
      <c r="F18" s="17">
        <v>152350</v>
      </c>
      <c r="G18" s="17"/>
      <c r="H18" s="17"/>
      <c r="I18"/>
    </row>
    <row r="19" spans="1:9" x14ac:dyDescent="0.25">
      <c r="B19" t="s">
        <v>28</v>
      </c>
      <c r="C19" s="16" t="s">
        <v>27</v>
      </c>
      <c r="D19">
        <v>6</v>
      </c>
      <c r="E19" s="1">
        <v>1000</v>
      </c>
      <c r="I19"/>
    </row>
    <row r="20" spans="1:9" x14ac:dyDescent="0.25">
      <c r="B20" t="s">
        <v>26</v>
      </c>
      <c r="C20" s="16"/>
      <c r="E20" s="1">
        <v>567130</v>
      </c>
      <c r="I20"/>
    </row>
    <row r="21" spans="1:9" x14ac:dyDescent="0.25">
      <c r="B21" t="s">
        <v>25</v>
      </c>
      <c r="C21" s="16"/>
      <c r="E21" s="1">
        <v>811722</v>
      </c>
      <c r="I21"/>
    </row>
    <row r="22" spans="1:9" x14ac:dyDescent="0.25">
      <c r="B22" t="s">
        <v>24</v>
      </c>
      <c r="C22" s="16"/>
      <c r="E22" s="1">
        <v>-201038.2</v>
      </c>
      <c r="I22"/>
    </row>
    <row r="23" spans="1:9" x14ac:dyDescent="0.25">
      <c r="C23" s="16"/>
      <c r="I23"/>
    </row>
    <row r="24" spans="1:9" x14ac:dyDescent="0.25">
      <c r="C24" s="16"/>
      <c r="I24"/>
    </row>
    <row r="25" spans="1:9" x14ac:dyDescent="0.25">
      <c r="B25" s="10"/>
      <c r="C25" s="16"/>
      <c r="I25"/>
    </row>
    <row r="26" spans="1:9" ht="15.75" thickBot="1" x14ac:dyDescent="0.3">
      <c r="B26" s="10" t="s">
        <v>23</v>
      </c>
      <c r="C26" s="18"/>
      <c r="D26" s="10"/>
      <c r="E26" s="17"/>
      <c r="F26" s="17"/>
      <c r="G26" s="17"/>
      <c r="H26" s="20">
        <f>SUM(G16:G19)</f>
        <v>1178813.8</v>
      </c>
      <c r="I26"/>
    </row>
    <row r="27" spans="1:9" ht="15.75" thickTop="1" x14ac:dyDescent="0.25">
      <c r="C27" s="16"/>
      <c r="I27"/>
    </row>
    <row r="28" spans="1:9" x14ac:dyDescent="0.25">
      <c r="C28" s="16"/>
      <c r="I28"/>
    </row>
    <row r="29" spans="1:9" x14ac:dyDescent="0.25">
      <c r="C29" s="16"/>
      <c r="I29"/>
    </row>
    <row r="30" spans="1:9" x14ac:dyDescent="0.25">
      <c r="A30" s="10"/>
      <c r="B30" s="10" t="s">
        <v>22</v>
      </c>
      <c r="C30" s="18" t="s">
        <v>21</v>
      </c>
      <c r="D30" s="10">
        <v>1</v>
      </c>
      <c r="E30" s="17"/>
      <c r="F30" s="17"/>
      <c r="G30" s="17"/>
      <c r="H30" s="17">
        <f>SUM(G32:G37)</f>
        <v>1178813.8</v>
      </c>
      <c r="I30"/>
    </row>
    <row r="31" spans="1:9" x14ac:dyDescent="0.25">
      <c r="A31" s="10"/>
      <c r="B31" s="10"/>
      <c r="C31" s="18"/>
      <c r="D31" s="10"/>
      <c r="E31" s="17"/>
      <c r="F31" s="17"/>
      <c r="G31" s="17"/>
      <c r="H31" s="17"/>
      <c r="I31"/>
    </row>
    <row r="32" spans="1:9" x14ac:dyDescent="0.25">
      <c r="A32" s="10"/>
      <c r="B32" s="10" t="s">
        <v>20</v>
      </c>
      <c r="C32" s="18" t="s">
        <v>19</v>
      </c>
      <c r="D32" s="10">
        <v>3</v>
      </c>
      <c r="E32" s="17"/>
      <c r="F32" s="17"/>
      <c r="G32" s="17">
        <f>+E33</f>
        <v>800</v>
      </c>
      <c r="H32" s="17"/>
    </row>
    <row r="33" spans="2:10" x14ac:dyDescent="0.25">
      <c r="B33" t="s">
        <v>18</v>
      </c>
      <c r="C33" s="16" t="s">
        <v>17</v>
      </c>
      <c r="D33">
        <v>6</v>
      </c>
      <c r="E33" s="1">
        <v>800</v>
      </c>
    </row>
    <row r="34" spans="2:10" x14ac:dyDescent="0.25">
      <c r="C34" s="16"/>
    </row>
    <row r="35" spans="2:10" x14ac:dyDescent="0.25">
      <c r="B35" s="10" t="s">
        <v>16</v>
      </c>
      <c r="C35" s="16"/>
      <c r="G35" s="11">
        <f>+E36+E37+E38</f>
        <v>1178013.8</v>
      </c>
    </row>
    <row r="36" spans="2:10" x14ac:dyDescent="0.25">
      <c r="B36" t="s">
        <v>15</v>
      </c>
      <c r="C36" s="16" t="s">
        <v>14</v>
      </c>
      <c r="D36">
        <v>6</v>
      </c>
      <c r="E36" s="1">
        <v>340</v>
      </c>
    </row>
    <row r="37" spans="2:10" x14ac:dyDescent="0.25">
      <c r="B37" s="21" t="s">
        <v>13</v>
      </c>
      <c r="C37" s="16"/>
      <c r="E37" s="1">
        <v>1378712</v>
      </c>
    </row>
    <row r="38" spans="2:10" x14ac:dyDescent="0.25">
      <c r="B38" s="21" t="s">
        <v>133</v>
      </c>
      <c r="C38" s="16"/>
      <c r="E38" s="1">
        <v>-201038.2</v>
      </c>
    </row>
    <row r="39" spans="2:10" x14ac:dyDescent="0.25">
      <c r="B39" s="10" t="s">
        <v>12</v>
      </c>
      <c r="C39" s="16"/>
    </row>
    <row r="40" spans="2:10" ht="15.75" thickBot="1" x14ac:dyDescent="0.3">
      <c r="B40" s="10" t="s">
        <v>11</v>
      </c>
      <c r="C40" s="16"/>
      <c r="E40" s="17"/>
      <c r="F40" s="17"/>
      <c r="G40" s="17"/>
      <c r="H40" s="20">
        <f>+H30</f>
        <v>1178813.8</v>
      </c>
      <c r="J40" s="1"/>
    </row>
    <row r="41" spans="2:10" ht="15.75" thickTop="1" x14ac:dyDescent="0.25">
      <c r="C41" s="16"/>
    </row>
    <row r="42" spans="2:10" x14ac:dyDescent="0.25">
      <c r="C42" s="16"/>
    </row>
    <row r="43" spans="2:10" x14ac:dyDescent="0.25">
      <c r="C43" s="16"/>
    </row>
    <row r="46" spans="2:10" x14ac:dyDescent="0.25">
      <c r="C46" s="16"/>
    </row>
    <row r="47" spans="2:10" x14ac:dyDescent="0.25">
      <c r="C47" s="16"/>
    </row>
    <row r="48" spans="2:10" x14ac:dyDescent="0.25">
      <c r="C48" s="16"/>
    </row>
    <row r="49" spans="1:8" x14ac:dyDescent="0.25">
      <c r="C49" s="16"/>
    </row>
    <row r="50" spans="1:8" x14ac:dyDescent="0.25">
      <c r="B50" s="19" t="s">
        <v>10</v>
      </c>
      <c r="C50" s="18"/>
      <c r="D50" s="10"/>
      <c r="E50" s="17"/>
      <c r="F50" s="17"/>
      <c r="G50" s="118" t="s">
        <v>9</v>
      </c>
      <c r="H50" s="118"/>
    </row>
    <row r="51" spans="1:8" x14ac:dyDescent="0.25">
      <c r="B51" s="19" t="s">
        <v>8</v>
      </c>
      <c r="C51" s="18"/>
      <c r="D51" s="10"/>
      <c r="E51" s="17"/>
      <c r="F51" s="17"/>
      <c r="G51" s="118" t="s">
        <v>7</v>
      </c>
      <c r="H51" s="118"/>
    </row>
    <row r="52" spans="1:8" x14ac:dyDescent="0.25">
      <c r="C52" s="16"/>
    </row>
    <row r="53" spans="1:8" x14ac:dyDescent="0.25">
      <c r="C53" s="16"/>
    </row>
    <row r="54" spans="1:8" x14ac:dyDescent="0.25">
      <c r="C54" s="16"/>
    </row>
    <row r="55" spans="1:8" ht="26.25" x14ac:dyDescent="0.4">
      <c r="B55" s="119" t="s">
        <v>6</v>
      </c>
      <c r="C55" s="119"/>
      <c r="D55" s="119"/>
      <c r="E55" s="119"/>
      <c r="F55" s="119"/>
      <c r="G55" s="119"/>
      <c r="H55" s="119"/>
    </row>
    <row r="56" spans="1:8" ht="26.25" x14ac:dyDescent="0.4">
      <c r="B56" s="119" t="s">
        <v>5</v>
      </c>
      <c r="C56" s="119"/>
      <c r="D56" s="119"/>
      <c r="E56" s="119"/>
      <c r="F56" s="119"/>
      <c r="G56" s="119"/>
      <c r="H56" s="119"/>
    </row>
    <row r="57" spans="1:8" ht="20.25" x14ac:dyDescent="0.3">
      <c r="B57" s="120" t="s">
        <v>132</v>
      </c>
      <c r="C57" s="120"/>
      <c r="D57" s="120"/>
      <c r="E57" s="120"/>
      <c r="F57" s="120"/>
      <c r="G57" s="120"/>
      <c r="H57" s="120"/>
    </row>
    <row r="58" spans="1:8" x14ac:dyDescent="0.25">
      <c r="A58" s="15"/>
      <c r="B58" s="15"/>
      <c r="C58" s="15"/>
      <c r="D58" s="14"/>
      <c r="E58" s="14"/>
      <c r="F58" s="14"/>
      <c r="G58" s="14"/>
    </row>
    <row r="59" spans="1:8" x14ac:dyDescent="0.25">
      <c r="B59" s="10" t="s">
        <v>4</v>
      </c>
      <c r="D59" s="1"/>
      <c r="H59" s="17"/>
    </row>
    <row r="60" spans="1:8" x14ac:dyDescent="0.25">
      <c r="D60" s="1"/>
      <c r="H60" s="17"/>
    </row>
    <row r="61" spans="1:8" x14ac:dyDescent="0.25">
      <c r="B61" t="s">
        <v>3</v>
      </c>
      <c r="C61" s="110">
        <v>167553.57</v>
      </c>
      <c r="D61" s="1">
        <f>74583.84+70281.46-6389.22</f>
        <v>138476.07999999999</v>
      </c>
      <c r="E61" s="1">
        <v>201038.2</v>
      </c>
      <c r="H61" s="17"/>
    </row>
    <row r="62" spans="1:8" x14ac:dyDescent="0.25">
      <c r="C62" t="s">
        <v>2</v>
      </c>
      <c r="D62" s="1" t="e">
        <f>+SUM('[2]Myores T'!AD26+'[2]Myores T'!AG26+'[2]Myores T'!AK26+'[2]Myores T'!AN26+[2]Hoja1!D25)+'[2]mayor TD'!D85</f>
        <v>#REF!</v>
      </c>
    </row>
    <row r="63" spans="1:8" x14ac:dyDescent="0.25">
      <c r="B63" s="10" t="s">
        <v>1</v>
      </c>
      <c r="D63" s="1"/>
      <c r="G63" s="11">
        <f>+E61</f>
        <v>201038.2</v>
      </c>
    </row>
    <row r="64" spans="1:8" x14ac:dyDescent="0.25">
      <c r="D64" s="1"/>
      <c r="H64" s="17"/>
    </row>
    <row r="65" spans="2:8" ht="15.75" thickBot="1" x14ac:dyDescent="0.3">
      <c r="B65" s="10" t="s">
        <v>0</v>
      </c>
      <c r="D65" s="1"/>
      <c r="G65" s="7">
        <f>+G63</f>
        <v>201038.2</v>
      </c>
      <c r="H65" s="17"/>
    </row>
    <row r="66" spans="2:8" ht="15.75" thickTop="1" x14ac:dyDescent="0.25"/>
  </sheetData>
  <mergeCells count="8">
    <mergeCell ref="B56:H56"/>
    <mergeCell ref="B57:H57"/>
    <mergeCell ref="B9:H9"/>
    <mergeCell ref="B10:H10"/>
    <mergeCell ref="B11:H11"/>
    <mergeCell ref="G50:H50"/>
    <mergeCell ref="G51:H51"/>
    <mergeCell ref="B5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ESF</vt:lpstr>
      <vt:lpstr>ERI</vt:lpstr>
      <vt:lpstr>ECP</vt:lpstr>
      <vt:lpstr>BC 2019</vt:lpstr>
      <vt:lpstr>BC 2018</vt:lpstr>
      <vt:lpstr>'BC 2019'!Print_Area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helpdesk_gye@telconet.ec</dc:creator>
  <cp:lastModifiedBy>Carlos Almeida</cp:lastModifiedBy>
  <dcterms:created xsi:type="dcterms:W3CDTF">2020-03-25T16:59:08Z</dcterms:created>
  <dcterms:modified xsi:type="dcterms:W3CDTF">2020-03-26T21:09:01Z</dcterms:modified>
</cp:coreProperties>
</file>